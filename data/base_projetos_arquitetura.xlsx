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f24eee78b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4d9df90c8c94e91"/>
    <x:sheet xmlns:r="http://schemas.openxmlformats.org/officeDocument/2006/relationships" name="Projetos" sheetId="2" r:id="R878344be14814b99"/>
    <x:sheet xmlns:r="http://schemas.openxmlformats.org/officeDocument/2006/relationships" name="Dicionario" sheetId="3" r:id="Rc89c2a1f978f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R$&quot; #,##0"/>
    <x:numFmt numFmtId="201" formatCode="0.0%"/>
    <x:numFmt numFmtId="202" formatCode="0.0"/>
    <x:numFmt numFmtId="203" formatCode="dd/mm/yyyy"/>
    <x:numFmt numFmtId="204" formatCode="#,##0"/>
  </x:numFmts>
  <x:fonts count="7">
    <x:font>
      <x:sz val="11"/>
      <x:name val="Carlito"/>
    </x:font>
    <x:font>
      <x:b/>
      <x:sz val="16"/>
      <x:color rgb="FF173042"/>
      <x:name val="Arial"/>
    </x:font>
    <x:font>
      <x:i/>
      <x:sz val="10"/>
      <x:color rgb="FF536A78"/>
      <x:name val="Arial"/>
    </x:font>
    <x:font>
      <x:sz val="10"/>
      <x:color rgb="FF173042"/>
      <x:name val="Arial"/>
    </x:font>
    <x:font>
      <x:b/>
      <x:sz val="10"/>
      <x:color rgb="FFFFFFFF"/>
      <x:name val="Arial"/>
    </x:font>
    <x:font>
      <x:sz val="9"/>
      <x:color rgb="FF173042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32F42"/>
      </x:patternFill>
    </x:fill>
    <x:fill>
      <x:patternFill patternType="solid">
        <x:fgColor rgb="FF1C7898"/>
      </x:patternFill>
    </x:fill>
    <x:fill>
      <x:patternFill patternType="solid">
        <x:fgColor rgb="FFFFF2E8"/>
      </x:patternFill>
    </x:fill>
  </x:fills>
  <x:borders count="7">
    <x:border/>
    <x:border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bottom style="thin">
        <x:color rgb="FFD7E0E5"/>
      </x:bottom>
    </x:border>
    <x:border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top style="thin">
        <x:color rgb="FFD7E0E5"/>
      </x:top>
      <x:bottom style="thin">
        <x:color rgb="FFD7E0E5"/>
      </x:bottom>
    </x:border>
    <x:border>
      <x:right style="thin">
        <x:color rgb="FFD7E0E5"/>
      </x:right>
      <x:top style="thin">
        <x:color rgb="FFD7E0E5"/>
      </x:top>
    </x:border>
    <x:border>
      <x:left style="thin">
        <x:color rgb="FFD7E0E5"/>
      </x:left>
      <x:top style="thin">
        <x:color rgb="FFD7E0E5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1" fontId="3" fillId="0" borderId="4" xfId="0" applyNumberFormat="1" applyFont="1" applyFill="1" applyBorder="1"/>
    <x:xf numFmtId="202" fontId="3" fillId="0" borderId="6" xfId="0" applyNumberFormat="1" applyFont="1" applyFill="1" applyBorder="1"/>
    <x:xf numFmtId="0" fontId="3" fillId="4" borderId="3" xfId="0" applyNumberFormat="1" applyFont="1" applyFill="1" applyBorder="1"/>
    <x:xf numFmtId="201" fontId="3" fillId="4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201" fontId="3" fillId="4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A94700"/>
      </x:font>
      <x:fill>
        <x:patternFill patternType="solid">
          <x:bgColor rgb="FFFF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edc9c99f844b3" /><Relationship Type="http://schemas.openxmlformats.org/officeDocument/2006/relationships/theme" Target="/xl/theme/theme1.xml" Id="Rfa4f58021ba64ba1" /><Relationship Type="http://schemas.openxmlformats.org/officeDocument/2006/relationships/sharedStrings" Target="/xl/sharedStrings.xml" Id="R44d0f96a763b40d9" /><Relationship Type="http://schemas.openxmlformats.org/officeDocument/2006/relationships/worksheet" Target="/xl/worksheets/sheet1.xml" Id="R34d9df90c8c94e91" /><Relationship Type="http://schemas.openxmlformats.org/officeDocument/2006/relationships/worksheet" Target="/xl/worksheets/sheet2.xml" Id="R878344be14814b99" /><Relationship Type="http://schemas.openxmlformats.org/officeDocument/2006/relationships/worksheet" Target="/xl/worksheets/sheet3.xml" Id="Rc89c2a1f978f4d31" /></Relationships>
</file>

<file path=xl/tables/table1.xml><?xml version="1.0" encoding="utf-8"?>
<x:table xmlns:x="http://schemas.openxmlformats.org/spreadsheetml/2006/main" id="1" name="ProjetosTable" displayName="ProjetosTable" ref="A1:AK61" headerRowCount="1" totalsRowCount="0" totalsRowShown="0">
  <x:autoFilter ref="A1:AK61"/>
  <x:tableColumns count="37">
    <x:tableColumn id="1" name="ID Projeto"/>
    <x:tableColumn id="2" name="Projeto"/>
    <x:tableColumn id="3" name="Cliente"/>
    <x:tableColumn id="4" name="Segmento"/>
    <x:tableColumn id="5" name="Cidade"/>
    <x:tableColumn id="6" name="UF"/>
    <x:tableColumn id="7" name="Diretor"/>
    <x:tableColumn id="8" name="Gerente"/>
    <x:tableColumn id="9" name="Fase Atual"/>
    <x:tableColumn id="10" name="Status"/>
    <x:tableColumn id="11" name="Risco"/>
    <x:tableColumn id="12" name="Data Inicio"/>
    <x:tableColumn id="13" name="Prazo Contratual (meses)"/>
    <x:tableColumn id="14" name="Fim Previsto"/>
    <x:tableColumn id="15" name="Fim Revisado"/>
    <x:tableColumn id="16" name="Desvio Prazo (dias)"/>
    <x:tableColumn id="17" name="Progresso Planejado"/>
    <x:tableColumn id="18" name="Progresso Real"/>
    <x:tableColumn id="19" name="Desvio Progresso"/>
    <x:tableColumn id="20" name="Honorarios Contratados"/>
    <x:tableColumn id="21" name="Receita Reconhecida"/>
    <x:tableColumn id="22" name="Valor Faturado"/>
    <x:tableColumn id="23" name="Valor Recebido"/>
    <x:tableColumn id="24" name="Backlog"/>
    <x:tableColumn id="25" name="Custo Orcado"/>
    <x:tableColumn id="26" name="Custo Real"/>
    <x:tableColumn id="27" name="Custo Projetado Final"/>
    <x:tableColumn id="28" name="Margem Prevista"/>
    <x:tableColumn id="29" name="Margem Atual"/>
    <x:tableColumn id="30" name="Horas Planejadas"/>
    <x:tableColumn id="31" name="Horas Realizadas"/>
    <x:tableColumn id="32" name="Desvio Horas"/>
    <x:tableColumn id="33" name="Alteracoes de Escopo"/>
    <x:tableColumn id="34" name="Satisfacao Cliente"/>
    <x:tableColumn id="35" name="Probabilidade Renovacao"/>
    <x:tableColumn id="36" name="Observacao Executiva"/>
    <x:tableColumn id="37" name="Ultima Atualiz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Table" displayName="DicionarioTable" ref="A5:C42" headerRowCount="1" totalsRowCount="0" totalsRowShown="0">
  <x:tableColumns count="3">
    <x:tableColumn id="1" name="Campo"/>
    <x:tableColumn id="2" name="Tipo"/>
    <x:tableColumn id="3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01322f2ed244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250766e8b4e6f" /></Relationships>
</file>

<file path=xl/worksheets/sheet1.xml><?xml version="1.0" encoding="utf-8"?>
<x:worksheet xmlns:x="http://schemas.openxmlformats.org/spreadsheetml/2006/main">
  <x:sheetPr>
    <x:tabColor rgb="FF132F42"/>
  </x:sheetPr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28" customHeight="1">
      <x:c r="A2" s="2" t="str">
        <x:v>Base de projetos de arquitetura</x:v>
      </x:c>
      <x:c r="B2" s="2"/>
      <x:c r="C2" s="2"/>
      <x:c r="D2" s="2"/>
      <x:c r="E2" s="2"/>
      <x:c r="F2" s="2"/>
    </x:row>
    <x:row r="3">
      <x:c r="A3" s="24" t="str">
        <x:v>Dados sintéticos para exercício de análise e visualização. Posição: 31/08/2026. Valores em BRL.</x:v>
      </x:c>
      <x:c r="B3" s="24"/>
      <x:c r="C3" s="24"/>
      <x:c r="D3" s="24"/>
      <x:c r="E3" s="24"/>
      <x:c r="F3" s="24"/>
    </x:row>
    <x:row r="4">
      <x:c r="A4" s="25"/>
      <x:c r="B4" s="25"/>
      <x:c r="C4" s="25"/>
      <x:c r="D4" s="25"/>
      <x:c r="E4" s="25"/>
      <x:c r="F4" s="25"/>
    </x:row>
    <x:row r="5">
      <x:c r="A5" s="26" t="str">
        <x:v>Indicador</x:v>
      </x:c>
      <x:c r="B5" s="26" t="str">
        <x:v>Resultado</x:v>
      </x:c>
      <x:c r="C5" s="25"/>
      <x:c r="D5" s="27" t="str">
        <x:v>Como usar</x:v>
      </x:c>
      <x:c r="E5" s="27"/>
      <x:c r="F5" s="27"/>
    </x:row>
    <x:row r="6">
      <x:c r="A6" s="28" t="str">
        <x:v>Projetos</x:v>
      </x:c>
      <x:c r="B6" s="29" t="n">
        <x:f>COUNTA(Projetos!$A$2:$A$61)</x:f>
        <x:v>60</x:v>
      </x:c>
      <x:c r="C6" s="25"/>
      <x:c r="D6" s="30" t="str">
        <x:v>A aba Projetos contém os 60 registros usados no dashboard. Os filtros e fórmulas podem ser recriados no Excel ou no Google Sheets. A aba Dicionario explica cada campo. Todos os dados são fictícios e não contêm informações confidenciais.</x:v>
      </x:c>
      <x:c r="E6" s="30"/>
      <x:c r="F6" s="30"/>
    </x:row>
    <x:row r="7">
      <x:c r="A7" s="31" t="str">
        <x:v>Projetos ativos</x:v>
      </x:c>
      <x:c r="B7" s="32" t="n">
        <x:f>COUNTIF(Projetos!$J$2:$J$61,"Em andamento")+COUNTIF(Projetos!$J$2:$J$61,"Em espera")</x:f>
        <x:v>33</x:v>
      </x:c>
      <x:c r="C7" s="25"/>
      <x:c r="D7" s="30"/>
      <x:c r="E7" s="30"/>
      <x:c r="F7" s="30"/>
    </x:row>
    <x:row r="8">
      <x:c r="A8" s="31" t="str">
        <x:v>Honorários contratados</x:v>
      </x:c>
      <x:c r="B8" s="33" t="n">
        <x:f>SUM(Projetos!$T$2:$T$61)</x:f>
        <x:v>109580000</x:v>
      </x:c>
      <x:c r="C8" s="25"/>
      <x:c r="D8" s="30"/>
      <x:c r="E8" s="30"/>
      <x:c r="F8" s="30"/>
    </x:row>
    <x:row r="9">
      <x:c r="A9" s="31" t="str">
        <x:v>Receita reconhecida</x:v>
      </x:c>
      <x:c r="B9" s="33" t="n">
        <x:f>SUM(Projetos!$U$2:$U$61)</x:f>
        <x:v>70459000</x:v>
      </x:c>
      <x:c r="C9" s="25"/>
      <x:c r="D9" s="30"/>
      <x:c r="E9" s="30"/>
      <x:c r="F9" s="30"/>
    </x:row>
    <x:row r="10">
      <x:c r="A10" s="31" t="str">
        <x:v>Conversão do contratado</x:v>
      </x:c>
      <x:c r="B10" s="34" t="n">
        <x:f>B9/B8</x:f>
        <x:v>0.6429914217922978</x:v>
      </x:c>
      <x:c r="C10" s="25"/>
      <x:c r="D10" s="30"/>
      <x:c r="E10" s="30"/>
      <x:c r="F10" s="30"/>
    </x:row>
    <x:row r="11">
      <x:c r="A11" s="31" t="str">
        <x:v>Backlog</x:v>
      </x:c>
      <x:c r="B11" s="33" t="n">
        <x:f>SUM(Projetos!$X$2:$X$61)</x:f>
        <x:v>39602000</x:v>
      </x:c>
      <x:c r="C11" s="25"/>
      <x:c r="D11" s="30"/>
      <x:c r="E11" s="30"/>
      <x:c r="F11" s="30"/>
    </x:row>
    <x:row r="12">
      <x:c r="A12" s="35" t="str">
        <x:v>Margem prevista</x:v>
      </x:c>
      <x:c r="B12" s="36" t="n">
        <x:f>(SUM(Projetos!$T$2:$T$61)-SUM(Projetos!$AA$2:$AA$61))/SUM(Projetos!$T$2:$T$61)</x:f>
        <x:v>0.3334458842854536</x:v>
      </x:c>
      <x:c r="C12" s="25"/>
      <x:c r="D12" s="25"/>
      <x:c r="E12" s="25"/>
      <x:c r="F12" s="25"/>
    </x:row>
    <x:row r="13">
      <x:c r="A13" s="31" t="str">
        <x:v>Valor a receber</x:v>
      </x:c>
      <x:c r="B13" s="33" t="n">
        <x:f>SUM(Projetos!$V$2:$V$61)-SUM(Projetos!$W$2:$W$61)</x:f>
        <x:v>8341000</x:v>
      </x:c>
      <x:c r="C13" s="25"/>
      <x:c r="D13" s="25"/>
      <x:c r="E13" s="25"/>
      <x:c r="F13" s="25"/>
    </x:row>
    <x:row r="14">
      <x:c r="A14" s="31" t="str">
        <x:v>Projetos em risco alto</x:v>
      </x:c>
      <x:c r="B14" s="32" t="n">
        <x:f>COUNTIF(Projetos!$K$2:$K$61,"Alto")</x:f>
        <x:v>26</x:v>
      </x:c>
      <x:c r="C14" s="25"/>
      <x:c r="D14" s="25"/>
      <x:c r="E14" s="25"/>
      <x:c r="F14" s="25"/>
    </x:row>
    <x:row r="15">
      <x:c r="A15" s="31" t="str">
        <x:v>Atrasos superiores a 30 dias</x:v>
      </x:c>
      <x:c r="B15" s="32" t="n">
        <x:f>COUNTIFS(Projetos!$P$2:$P$61,"&gt;30",Projetos!$J$2:$J$61,"&lt;&gt;Concluido",Projetos!$J$2:$J$61,"&lt;&gt;Cancelado")</x:f>
        <x:v>20</x:v>
      </x:c>
      <x:c r="C15" s="25"/>
      <x:c r="D15" s="25"/>
      <x:c r="E15" s="25"/>
      <x:c r="F15" s="25"/>
    </x:row>
    <x:row r="16">
      <x:c r="A16" s="37" t="str">
        <x:v>Satisfação média</x:v>
      </x:c>
      <x:c r="B16" s="38" t="n">
        <x:f>AVERAGE(Projetos!$AH$2:$AH$61)</x:f>
        <x:v>8.230000000000002</x:v>
      </x:c>
      <x:c r="C16" s="25"/>
      <x:c r="D16" s="25"/>
      <x:c r="E16" s="25"/>
      <x:c r="F16" s="25"/>
    </x:row>
  </x:sheetData>
  <x:mergeCells>
    <x:mergeCell ref="A2:F2"/>
    <x:mergeCell ref="A3:F3"/>
    <x:mergeCell ref="D5:F5"/>
    <x:mergeCell ref="D6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C789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6" max="6" width="14" hidden="0" customWidth="1"/>
    <x:col min="10" max="10" width="14" hidden="0" customWidth="1"/>
    <x:col min="11" max="11" width="14" hidden="0" customWidth="1"/>
    <x:col min="13" max="13" width="14" hidden="0" customWidth="1"/>
    <x:col min="16" max="16" width="14" hidden="0" customWidth="1"/>
    <x:col min="33" max="33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7" max="7" width="20" hidden="0" customWidth="1"/>
    <x:col min="8" max="8" width="20" hidden="0" customWidth="1"/>
    <x:col min="9" max="9" width="20" hidden="0" customWidth="1"/>
    <x:col min="12" max="12" width="13" hidden="0" customWidth="1"/>
    <x:col min="14" max="14" width="13" hidden="0" customWidth="1"/>
    <x:col min="15" max="15" width="13" hidden="0" customWidth="1"/>
    <x:col min="37" max="37" width="13" hidden="0" customWidth="1"/>
    <x:col min="17" max="17" width="15" hidden="0" customWidth="1"/>
    <x:col min="18" max="18" width="15" hidden="0" customWidth="1"/>
    <x:col min="19" max="19" width="15" hidden="0" customWidth="1"/>
    <x:col min="28" max="28" width="15" hidden="0" customWidth="1"/>
    <x:col min="29" max="29" width="15" hidden="0" customWidth="1"/>
    <x:col min="32" max="32" width="15" hidden="0" customWidth="1"/>
    <x:col min="35" max="35" width="15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30" max="30" width="18" hidden="0" customWidth="1"/>
    <x:col min="31" max="31" width="18" hidden="0" customWidth="1"/>
    <x:col min="34" max="34" width="18" hidden="0" customWidth="1"/>
    <x:col min="36" max="36" width="42" hidden="0" customWidth="1"/>
  </x:cols>
  <x:sheetData>
    <x:row r="1">
      <x:c r="A1" s="44" t="str">
        <x:v>ID Projeto</x:v>
      </x:c>
      <x:c r="B1" s="44" t="str">
        <x:v>Projeto</x:v>
      </x:c>
      <x:c r="C1" s="44" t="str">
        <x:v>Cliente</x:v>
      </x:c>
      <x:c r="D1" s="44" t="str">
        <x:v>Segmento</x:v>
      </x:c>
      <x:c r="E1" s="44" t="str">
        <x:v>Cidade</x:v>
      </x:c>
      <x:c r="F1" s="44" t="str">
        <x:v>UF</x:v>
      </x:c>
      <x:c r="G1" s="44" t="str">
        <x:v>Diretor</x:v>
      </x:c>
      <x:c r="H1" s="44" t="str">
        <x:v>Gerente</x:v>
      </x:c>
      <x:c r="I1" s="44" t="str">
        <x:v>Fase Atual</x:v>
      </x:c>
      <x:c r="J1" s="44" t="str">
        <x:v>Status</x:v>
      </x:c>
      <x:c r="K1" s="44" t="str">
        <x:v>Risco</x:v>
      </x:c>
      <x:c r="L1" s="44" t="str">
        <x:v>Data Inicio</x:v>
      </x:c>
      <x:c r="M1" s="44" t="str">
        <x:v>Prazo Contratual (meses)</x:v>
      </x:c>
      <x:c r="N1" s="44" t="str">
        <x:v>Fim Previsto</x:v>
      </x:c>
      <x:c r="O1" s="44" t="str">
        <x:v>Fim Revisado</x:v>
      </x:c>
      <x:c r="P1" s="44" t="str">
        <x:v>Desvio Prazo (dias)</x:v>
      </x:c>
      <x:c r="Q1" s="44" t="str">
        <x:v>Progresso Planejado</x:v>
      </x:c>
      <x:c r="R1" s="44" t="str">
        <x:v>Progresso Real</x:v>
      </x:c>
      <x:c r="S1" s="44" t="str">
        <x:v>Desvio Progresso</x:v>
      </x:c>
      <x:c r="T1" s="44" t="str">
        <x:v>Honorarios Contratados</x:v>
      </x:c>
      <x:c r="U1" s="44" t="str">
        <x:v>Receita Reconhecida</x:v>
      </x:c>
      <x:c r="V1" s="44" t="str">
        <x:v>Valor Faturado</x:v>
      </x:c>
      <x:c r="W1" s="44" t="str">
        <x:v>Valor Recebido</x:v>
      </x:c>
      <x:c r="X1" s="44" t="str">
        <x:v>Backlog</x:v>
      </x:c>
      <x:c r="Y1" s="44" t="str">
        <x:v>Custo Orcado</x:v>
      </x:c>
      <x:c r="Z1" s="44" t="str">
        <x:v>Custo Real</x:v>
      </x:c>
      <x:c r="AA1" s="44" t="str">
        <x:v>Custo Projetado Final</x:v>
      </x:c>
      <x:c r="AB1" s="44" t="str">
        <x:v>Margem Prevista</x:v>
      </x:c>
      <x:c r="AC1" s="44" t="str">
        <x:v>Margem Atual</x:v>
      </x:c>
      <x:c r="AD1" s="44" t="str">
        <x:v>Horas Planejadas</x:v>
      </x:c>
      <x:c r="AE1" s="44" t="str">
        <x:v>Horas Realizadas</x:v>
      </x:c>
      <x:c r="AF1" s="44" t="str">
        <x:v>Desvio Horas</x:v>
      </x:c>
      <x:c r="AG1" s="44" t="str">
        <x:v>Alteracoes de Escopo</x:v>
      </x:c>
      <x:c r="AH1" s="44" t="str">
        <x:v>Satisfacao Cliente</x:v>
      </x:c>
      <x:c r="AI1" s="44" t="str">
        <x:v>Probabilidade Renovacao</x:v>
      </x:c>
      <x:c r="AJ1" s="44" t="str">
        <x:v>Observacao Executiva</x:v>
      </x:c>
      <x:c r="AK1" s="44" t="str">
        <x:v>Ultima Atualizacao</x:v>
      </x:c>
    </x:row>
    <x:row r="2">
      <x:c r="A2" s="39" t="str">
        <x:v>ARQ-001</x:v>
      </x:c>
      <x:c r="B2" s="39" t="str">
        <x:v>Estacao Complex</x:v>
      </x:c>
      <x:c r="C2" s="39" t="str">
        <x:v>Instituto Veredas</x:v>
      </x:c>
      <x:c r="D2" s="39" t="str">
        <x:v>Residencial</x:v>
      </x:c>
      <x:c r="E2" s="39" t="str">
        <x:v>Natal</x:v>
      </x:c>
      <x:c r="F2" s="39" t="str">
        <x:v>RN</x:v>
      </x:c>
      <x:c r="G2" s="39" t="str">
        <x:v>Rafael Nunes</x:v>
      </x:c>
      <x:c r="H2" s="39" t="str">
        <x:v>Felipe Andrade</x:v>
      </x:c>
      <x:c r="I2" s="39" t="str">
        <x:v>Projeto legal</x:v>
      </x:c>
      <x:c r="J2" s="39" t="str">
        <x:v>Cancelado</x:v>
      </x:c>
      <x:c r="K2" s="39" t="str">
        <x:v>Alto</x:v>
      </x:c>
      <x:c r="L2" s="45" t="n">
        <x:v>45801</x:v>
      </x:c>
      <x:c r="M2" s="39"/>
      <x:c r="N2" s="45" t="n">
        <x:v>46288</x:v>
      </x:c>
      <x:c r="O2" s="45" t="n">
        <x:v>46359</x:v>
      </x:c>
      <x:c r="P2" s="48" t="n">
        <x:v>71</x:v>
      </x:c>
      <x:c r="Q2" s="46" t="n">
        <x:v>0.9527720739219713</x:v>
      </x:c>
      <x:c r="R2" s="46" t="n">
        <x:v>0.4833418580426144</x:v>
      </x:c>
      <x:c r="S2" s="46" t="n">
        <x:v>-0.46943021587935685</x:v>
      </x:c>
      <x:c r="T2" s="47" t="n">
        <x:v>1725000</x:v>
      </x:c>
      <x:c r="U2" s="47" t="n">
        <x:v>801000</x:v>
      </x:c>
      <x:c r="V2" s="47" t="n">
        <x:v>790000</x:v>
      </x:c>
      <x:c r="W2" s="47" t="n">
        <x:v>750000</x:v>
      </x:c>
      <x:c r="X2" s="47" t="n">
        <x:v>924000</x:v>
      </x:c>
      <x:c r="Y2" s="47" t="n">
        <x:v>961000</x:v>
      </x:c>
      <x:c r="Z2" s="47" t="n">
        <x:v>528000</x:v>
      </x:c>
      <x:c r="AA2" s="47" t="n">
        <x:v>1069000</x:v>
      </x:c>
      <x:c r="AB2" s="46" t="n">
        <x:v>0.38028985507246377</x:v>
      </x:c>
      <x:c r="AC2" s="46" t="n">
        <x:v>0.3408239700374532</x:v>
      </x:c>
      <x:c r="AD2" s="48" t="n">
        <x:v>5750</x:v>
      </x:c>
      <x:c r="AE2" s="48" t="n">
        <x:v>2970</x:v>
      </x:c>
      <x:c r="AF2" s="46" t="n">
        <x:v>0.03317988108782033</x:v>
      </x:c>
      <x:c r="AG2" s="48" t="n">
        <x:v>3</x:v>
      </x:c>
      <x:c r="AH2" s="49" t="n">
        <x:v>9</x:v>
      </x:c>
      <x:c r="AI2" s="46" t="n">
        <x:v>0.810516689568758</x:v>
      </x:c>
      <x:c r="AJ2" s="50" t="str">
        <x:v>Projeto com potencial de expansão para nova unidade.</x:v>
      </x:c>
      <x:c r="AK2" s="45" t="n">
        <x:v>46248</x:v>
      </x:c>
    </x:row>
    <x:row r="3">
      <x:c r="A3" s="39" t="str">
        <x:v>ARQ-002</x:v>
      </x:c>
      <x:c r="B3" s="39" t="str">
        <x:v>Mosaico Residence</x:v>
      </x:c>
      <x:c r="C3" s="39" t="str">
        <x:v>Construtora Horizonte</x:v>
      </x:c>
      <x:c r="D3" s="39" t="str">
        <x:v>Varejo</x:v>
      </x:c>
      <x:c r="E3" s="39" t="str">
        <x:v>Eusébio</x:v>
      </x:c>
      <x:c r="F3" s="39" t="str">
        <x:v>CE</x:v>
      </x:c>
      <x:c r="G3" s="39" t="str">
        <x:v>Marina Costa</x:v>
      </x:c>
      <x:c r="H3" s="39" t="str">
        <x:v>Daniel Freitas</x:v>
      </x:c>
      <x:c r="I3" s="39" t="str">
        <x:v>Acompanhamento de obra</x:v>
      </x:c>
      <x:c r="J3" s="39" t="str">
        <x:v>Em andamento</x:v>
      </x:c>
      <x:c r="K3" s="39" t="str">
        <x:v>Alto</x:v>
      </x:c>
      <x:c r="L3" s="45" t="n">
        <x:v>45362</x:v>
      </x:c>
      <x:c r="M3" s="39"/>
      <x:c r="N3" s="45" t="n">
        <x:v>45940</x:v>
      </x:c>
      <x:c r="O3" s="45" t="n">
        <x:v>46057</x:v>
      </x:c>
      <x:c r="P3" s="48" t="n">
        <x:v>117</x:v>
      </x:c>
      <x:c r="Q3" s="46" t="n">
        <x:v>1</x:v>
      </x:c>
      <x:c r="R3" s="46" t="n">
        <x:v>0.8563441060273909</x:v>
      </x:c>
      <x:c r="S3" s="46" t="n">
        <x:v>-0.14365589397260914</x:v>
      </x:c>
      <x:c r="T3" s="47" t="n">
        <x:v>1600000</x:v>
      </x:c>
      <x:c r="U3" s="47" t="n">
        <x:v>1239000</x:v>
      </x:c>
      <x:c r="V3" s="47" t="n">
        <x:v>1249000</x:v>
      </x:c>
      <x:c r="W3" s="47" t="n">
        <x:v>999000</x:v>
      </x:c>
      <x:c r="X3" s="47" t="n">
        <x:v>361000</x:v>
      </x:c>
      <x:c r="Y3" s="47" t="n">
        <x:v>960000</x:v>
      </x:c>
      <x:c r="Z3" s="47" t="n">
        <x:v>746000</x:v>
      </x:c>
      <x:c r="AA3" s="47" t="n">
        <x:v>1010000</x:v>
      </x:c>
      <x:c r="AB3" s="46" t="n">
        <x:v>0.36875</x:v>
      </x:c>
      <x:c r="AC3" s="46" t="n">
        <x:v>0.3979015334947538</x:v>
      </x:c>
      <x:c r="AD3" s="48" t="n">
        <x:v>8050</x:v>
      </x:c>
      <x:c r="AE3" s="48" t="n">
        <x:v>7000</x:v>
      </x:c>
      <x:c r="AF3" s="46" t="n">
        <x:v>0.013221111363913463</x:v>
      </x:c>
      <x:c r="AG3" s="48" t="n">
        <x:v>4</x:v>
      </x:c>
      <x:c r="AH3" s="49" t="n">
        <x:v>7.9</x:v>
      </x:c>
      <x:c r="AI3" s="46" t="n">
        <x:v>0.6986080900765956</x:v>
      </x:c>
      <x:c r="AJ3" s="50" t="str">
        <x:v>Revisão de layout solicitada pelo operador.</x:v>
      </x:c>
      <x:c r="AK3" s="45" t="n">
        <x:v>46253</x:v>
      </x:c>
    </x:row>
    <x:row r="4">
      <x:c r="A4" s="39" t="str">
        <x:v>ARQ-003</x:v>
      </x:c>
      <x:c r="B4" s="39" t="str">
        <x:v>Cais Mall</x:v>
      </x:c>
      <x:c r="C4" s="39" t="str">
        <x:v>Nexo Empreendimentos</x:v>
      </x:c>
      <x:c r="D4" s="39" t="str">
        <x:v>Varejo</x:v>
      </x:c>
      <x:c r="E4" s="39" t="str">
        <x:v>Campinas</x:v>
      </x:c>
      <x:c r="F4" s="39" t="str">
        <x:v>SP</x:v>
      </x:c>
      <x:c r="G4" s="39" t="str">
        <x:v>Helena Prado</x:v>
      </x:c>
      <x:c r="H4" s="39" t="str">
        <x:v>Felipe Andrade</x:v>
      </x:c>
      <x:c r="I4" s="39" t="str">
        <x:v>Acompanhamento de obra</x:v>
      </x:c>
      <x:c r="J4" s="39" t="str">
        <x:v>Concluido</x:v>
      </x:c>
      <x:c r="K4" s="39" t="str">
        <x:v>Alto</x:v>
      </x:c>
      <x:c r="L4" s="45" t="n">
        <x:v>45714</x:v>
      </x:c>
      <x:c r="M4" s="39"/>
      <x:c r="N4" s="45" t="n">
        <x:v>46171</x:v>
      </x:c>
      <x:c r="O4" s="45" t="n">
        <x:v>46184</x:v>
      </x:c>
      <x:c r="P4" s="48" t="n">
        <x:v>13</x:v>
      </x:c>
      <x:c r="Q4" s="46" t="n">
        <x:v>1</x:v>
      </x:c>
      <x:c r="R4" s="46" t="n">
        <x:v>1</x:v>
      </x:c>
      <x:c r="S4" s="46" t="n">
        <x:v>0</x:v>
      </x:c>
      <x:c r="T4" s="47" t="n">
        <x:v>1400000</x:v>
      </x:c>
      <x:c r="U4" s="47" t="n">
        <x:v>1400000</x:v>
      </x:c>
      <x:c r="V4" s="47" t="n">
        <x:v>1345000</x:v>
      </x:c>
      <x:c r="W4" s="47" t="n">
        <x:v>1117000</x:v>
      </x:c>
      <x:c r="X4" s="47" t="n">
        <x:v>0</x:v>
      </x:c>
      <x:c r="Y4" s="47" t="n">
        <x:v>789000</x:v>
      </x:c>
      <x:c r="Z4" s="47" t="n">
        <x:v>900000</x:v>
      </x:c>
      <x:c r="AA4" s="47" t="n">
        <x:v>900000</x:v>
      </x:c>
      <x:c r="AB4" s="46" t="n">
        <x:v>0.35714285714285715</x:v>
      </x:c>
      <x:c r="AC4" s="46" t="n">
        <x:v>0.35714285714285715</x:v>
      </x:c>
      <x:c r="AD4" s="48" t="n">
        <x:v>3350</x:v>
      </x:c>
      <x:c r="AE4" s="48" t="n">
        <x:v>3420</x:v>
      </x:c>
      <x:c r="AF4" s="46" t="n">
        <x:v>0.020895522388059806</x:v>
      </x:c>
      <x:c r="AG4" s="48" t="n">
        <x:v>3</x:v>
      </x:c>
      <x:c r="AH4" s="49" t="n">
        <x:v>9</x:v>
      </x:c>
      <x:c r="AI4" s="46" t="n">
        <x:v>0.7900331179518253</x:v>
      </x:c>
      <x:c r="AJ4" s="50" t="str">
        <x:v>Cliente avaliando ampliação de escopo.</x:v>
      </x:c>
      <x:c r="AK4" s="45" t="n">
        <x:v>46262</x:v>
      </x:c>
    </x:row>
    <x:row r="5">
      <x:c r="A5" s="39" t="str">
        <x:v>ARQ-004</x:v>
      </x:c>
      <x:c r="B5" s="39" t="str">
        <x:v>Delta Residence</x:v>
      </x:c>
      <x:c r="C5" s="39" t="str">
        <x:v>Grupo Serene</x:v>
      </x:c>
      <x:c r="D5" s="39" t="str">
        <x:v>Hotelaria</x:v>
      </x:c>
      <x:c r="E5" s="39" t="str">
        <x:v>Brasília</x:v>
      </x:c>
      <x:c r="F5" s="39" t="str">
        <x:v>DF</x:v>
      </x:c>
      <x:c r="G5" s="39" t="str">
        <x:v>Helena Prado</x:v>
      </x:c>
      <x:c r="H5" s="39" t="str">
        <x:v>Daniel Freitas</x:v>
      </x:c>
      <x:c r="I5" s="39" t="str">
        <x:v>Anteprojeto</x:v>
      </x:c>
      <x:c r="J5" s="39" t="str">
        <x:v>Em andamento</x:v>
      </x:c>
      <x:c r="K5" s="39" t="str">
        <x:v>Alto</x:v>
      </x:c>
      <x:c r="L5" s="45" t="n">
        <x:v>46189</x:v>
      </x:c>
      <x:c r="M5" s="39"/>
      <x:c r="N5" s="45" t="n">
        <x:v>46646</x:v>
      </x:c>
      <x:c r="O5" s="45" t="n">
        <x:v>46754</x:v>
      </x:c>
      <x:c r="P5" s="48" t="n">
        <x:v>108</x:v>
      </x:c>
      <x:c r="Q5" s="46" t="n">
        <x:v>0.16630196936542668</x:v>
      </x:c>
      <x:c r="R5" s="46" t="n">
        <x:v>0.18444186779551708</x:v>
      </x:c>
      <x:c r="S5" s="46" t="n">
        <x:v>0.018139898430090395</x:v>
      </x:c>
      <x:c r="T5" s="47" t="n">
        <x:v>1935000</x:v>
      </x:c>
      <x:c r="U5" s="47" t="n">
        <x:v>353000</x:v>
      </x:c>
      <x:c r="V5" s="47" t="n">
        <x:v>371000</x:v>
      </x:c>
      <x:c r="W5" s="47" t="n">
        <x:v>332000</x:v>
      </x:c>
      <x:c r="X5" s="47" t="n">
        <x:v>1582000</x:v>
      </x:c>
      <x:c r="Y5" s="47" t="n">
        <x:v>1242000</x:v>
      </x:c>
      <x:c r="Z5" s="47" t="n">
        <x:v>222000</x:v>
      </x:c>
      <x:c r="AA5" s="47" t="n">
        <x:v>1367000</x:v>
      </x:c>
      <x:c r="AB5" s="46" t="n">
        <x:v>0.2935400516795866</x:v>
      </x:c>
      <x:c r="AC5" s="46" t="n">
        <x:v>0.37110481586402266</x:v>
      </x:c>
      <x:c r="AD5" s="48" t="n">
        <x:v>18900</x:v>
      </x:c>
      <x:c r="AE5" s="48" t="n">
        <x:v>3600</x:v>
      </x:c>
      <x:c r="AF5" s="46" t="n">
        <x:v>0.006034322680673387</x:v>
      </x:c>
      <x:c r="AG5" s="48" t="n">
        <x:v>0</x:v>
      </x:c>
      <x:c r="AH5" s="49" t="n">
        <x:v>6.5</x:v>
      </x:c>
      <x:c r="AI5" s="46" t="n">
        <x:v>0.6358952302485705</x:v>
      </x:c>
      <x:c r="AJ5" s="50" t="str">
        <x:v>Revisão de layout solicitada pelo operador.</x:v>
      </x:c>
      <x:c r="AK5" s="45" t="n">
        <x:v>46261</x:v>
      </x:c>
    </x:row>
    <x:row r="6">
      <x:c r="A6" s="39" t="str">
        <x:v>ARQ-005</x:v>
      </x:c>
      <x:c r="B6" s="39" t="str">
        <x:v>Almeida Tower</x:v>
      </x:c>
      <x:c r="C6" s="39" t="str">
        <x:v>Rede Pátio</x:v>
      </x:c>
      <x:c r="D6" s="39" t="str">
        <x:v>Industrial</x:v>
      </x:c>
      <x:c r="E6" s="39" t="str">
        <x:v>Belo Horizonte</x:v>
      </x:c>
      <x:c r="F6" s="39" t="str">
        <x:v>MG</x:v>
      </x:c>
      <x:c r="G6" s="39" t="str">
        <x:v>Rafael Nunes</x:v>
      </x:c>
      <x:c r="H6" s="39" t="str">
        <x:v>Daniel Freitas</x:v>
      </x:c>
      <x:c r="I6" s="39" t="str">
        <x:v>Compatibilização</x:v>
      </x:c>
      <x:c r="J6" s="39" t="str">
        <x:v>Em andamento</x:v>
      </x:c>
      <x:c r="K6" s="39" t="str">
        <x:v>Baixo</x:v>
      </x:c>
      <x:c r="L6" s="45" t="n">
        <x:v>45866</x:v>
      </x:c>
      <x:c r="M6" s="39"/>
      <x:c r="N6" s="45" t="n">
        <x:v>46383</x:v>
      </x:c>
      <x:c r="O6" s="45" t="n">
        <x:v>46418</x:v>
      </x:c>
      <x:c r="P6" s="48" t="n">
        <x:v>35</x:v>
      </x:c>
      <x:c r="Q6" s="46" t="n">
        <x:v>0.7717601547388782</x:v>
      </x:c>
      <x:c r="R6" s="46" t="n">
        <x:v>0.7983578778732059</x:v>
      </x:c>
      <x:c r="S6" s="46" t="n">
        <x:v>0.026597723134327733</x:v>
      </x:c>
      <x:c r="T6" s="47" t="n">
        <x:v>1910000</x:v>
      </x:c>
      <x:c r="U6" s="47" t="n">
        <x:v>1534000</x:v>
      </x:c>
      <x:c r="V6" s="47" t="n">
        <x:v>1434000</x:v>
      </x:c>
      <x:c r="W6" s="47" t="n">
        <x:v>1270000</x:v>
      </x:c>
      <x:c r="X6" s="47" t="n">
        <x:v>376000</x:v>
      </x:c>
      <x:c r="Y6" s="47" t="n">
        <x:v>1152000</x:v>
      </x:c>
      <x:c r="Z6" s="47" t="n">
        <x:v>1046000</x:v>
      </x:c>
      <x:c r="AA6" s="47" t="n">
        <x:v>1206000</x:v>
      </x:c>
      <x:c r="AB6" s="46" t="n">
        <x:v>0.36858638743455496</x:v>
      </x:c>
      <x:c r="AC6" s="46" t="n">
        <x:v>0.318122555410691</x:v>
      </x:c>
      <x:c r="AD6" s="48" t="n">
        <x:v>17350</x:v>
      </x:c>
      <x:c r="AE6" s="48" t="n">
        <x:v>12770</x:v>
      </x:c>
      <x:c r="AF6" s="46" t="n">
        <x:v>-0.06233482311816263</x:v>
      </x:c>
      <x:c r="AG6" s="48" t="n">
        <x:v>6</x:v>
      </x:c>
      <x:c r="AH6" s="49" t="n">
        <x:v>7.9</x:v>
      </x:c>
      <x:c r="AI6" s="46" t="n">
        <x:v>0.7348531811963768</x:v>
      </x:c>
      <x:c r="AJ6" s="50" t="str">
        <x:v>Aprovação municipal é o principal ponto de atenção.</x:v>
      </x:c>
      <x:c r="AK6" s="45" t="n">
        <x:v>46252</x:v>
      </x:c>
    </x:row>
    <x:row r="7">
      <x:c r="A7" s="39" t="str">
        <x:v>ARQ-006</x:v>
      </x:c>
      <x:c r="B7" s="39" t="str">
        <x:v>Almeida Tower</x:v>
      </x:c>
      <x:c r="C7" s="39" t="str">
        <x:v>Rede Pátio</x:v>
      </x:c>
      <x:c r="D7" s="39" t="str">
        <x:v>Varejo</x:v>
      </x:c>
      <x:c r="E7" s="39" t="str">
        <x:v>São Paulo</x:v>
      </x:c>
      <x:c r="F7" s="39" t="str">
        <x:v>SP</x:v>
      </x:c>
      <x:c r="G7" s="39" t="str">
        <x:v>Rafael Nunes</x:v>
      </x:c>
      <x:c r="H7" s="39" t="str">
        <x:v>Daniel Freitas</x:v>
      </x:c>
      <x:c r="I7" s="39" t="str">
        <x:v>Acompanhamento de obra</x:v>
      </x:c>
      <x:c r="J7" s="39" t="str">
        <x:v>Concluido</x:v>
      </x:c>
      <x:c r="K7" s="39" t="str">
        <x:v>Alto</x:v>
      </x:c>
      <x:c r="L7" s="45" t="n">
        <x:v>45486</x:v>
      </x:c>
      <x:c r="M7" s="39"/>
      <x:c r="N7" s="45" t="n">
        <x:v>45912</x:v>
      </x:c>
      <x:c r="O7" s="45" t="n">
        <x:v>45916</x:v>
      </x:c>
      <x:c r="P7" s="48" t="n">
        <x:v>4</x:v>
      </x:c>
      <x:c r="Q7" s="46" t="n">
        <x:v>1</x:v>
      </x:c>
      <x:c r="R7" s="46" t="n">
        <x:v>1</x:v>
      </x:c>
      <x:c r="S7" s="46" t="n">
        <x:v>0</x:v>
      </x:c>
      <x:c r="T7" s="47" t="n">
        <x:v>670000</x:v>
      </x:c>
      <x:c r="U7" s="47" t="n">
        <x:v>625000</x:v>
      </x:c>
      <x:c r="V7" s="47" t="n">
        <x:v>651000</x:v>
      </x:c>
      <x:c r="W7" s="47" t="n">
        <x:v>508000</x:v>
      </x:c>
      <x:c r="X7" s="47" t="n">
        <x:v>45000</x:v>
      </x:c>
      <x:c r="Y7" s="47" t="n">
        <x:v>453000</x:v>
      </x:c>
      <x:c r="Z7" s="47" t="n">
        <x:v>528000</x:v>
      </x:c>
      <x:c r="AA7" s="47" t="n">
        <x:v>528000</x:v>
      </x:c>
      <x:c r="AB7" s="46" t="n">
        <x:v>0.21194029850746268</x:v>
      </x:c>
      <x:c r="AC7" s="46" t="n">
        <x:v>0.1552</x:v>
      </x:c>
      <x:c r="AD7" s="48" t="n">
        <x:v>11750</x:v>
      </x:c>
      <x:c r="AE7" s="48" t="n">
        <x:v>12680</x:v>
      </x:c>
      <x:c r="AF7" s="46" t="n">
        <x:v>0.07914893617021268</x:v>
      </x:c>
      <x:c r="AG7" s="48" t="n">
        <x:v>2</x:v>
      </x:c>
      <x:c r="AH7" s="49" t="n">
        <x:v>6.4</x:v>
      </x:c>
      <x:c r="AI7" s="46" t="n">
        <x:v>0.5810698897205293</x:v>
      </x:c>
      <x:c r="AJ7" s="50" t="str">
        <x:v>Revisão de layout solicitada pelo operador.</x:v>
      </x:c>
      <x:c r="AK7" s="45" t="n">
        <x:v>46247</x:v>
      </x:c>
    </x:row>
    <x:row r="8">
      <x:c r="A8" s="39" t="str">
        <x:v>ARQ-007</x:v>
      </x:c>
      <x:c r="B8" s="39" t="str">
        <x:v>Icaro Tower</x:v>
      </x:c>
      <x:c r="C8" s="39" t="str">
        <x:v>Cais Urbanismo</x:v>
      </x:c>
      <x:c r="D8" s="39" t="str">
        <x:v>Industrial</x:v>
      </x:c>
      <x:c r="E8" s="39" t="str">
        <x:v>Eusébio</x:v>
      </x:c>
      <x:c r="F8" s="39" t="str">
        <x:v>CE</x:v>
      </x:c>
      <x:c r="G8" s="39" t="str">
        <x:v>Helena Prado</x:v>
      </x:c>
      <x:c r="H8" s="39" t="str">
        <x:v>Gabriela Lopes</x:v>
      </x:c>
      <x:c r="I8" s="39" t="str">
        <x:v>Acompanhamento de obra</x:v>
      </x:c>
      <x:c r="J8" s="39" t="str">
        <x:v>Em andamento</x:v>
      </x:c>
      <x:c r="K8" s="39" t="str">
        <x:v>Medio</x:v>
      </x:c>
      <x:c r="L8" s="45" t="n">
        <x:v>45462</x:v>
      </x:c>
      <x:c r="M8" s="39"/>
      <x:c r="N8" s="45" t="n">
        <x:v>46010</x:v>
      </x:c>
      <x:c r="O8" s="45" t="n">
        <x:v>46032</x:v>
      </x:c>
      <x:c r="P8" s="48" t="n">
        <x:v>22</x:v>
      </x:c>
      <x:c r="Q8" s="46" t="n">
        <x:v>1</x:v>
      </x:c>
      <x:c r="R8" s="46" t="n">
        <x:v>0.8714326812210493</x:v>
      </x:c>
      <x:c r="S8" s="46" t="n">
        <x:v>-0.12856731877895067</x:v>
      </x:c>
      <x:c r="T8" s="47" t="n">
        <x:v>1050000</x:v>
      </x:c>
      <x:c r="U8" s="47" t="n">
        <x:v>852000</x:v>
      </x:c>
      <x:c r="V8" s="47" t="n">
        <x:v>833000</x:v>
      </x:c>
      <x:c r="W8" s="47" t="n">
        <x:v>674000</x:v>
      </x:c>
      <x:c r="X8" s="47" t="n">
        <x:v>198000</x:v>
      </x:c>
      <x:c r="Y8" s="47" t="n">
        <x:v>687000</x:v>
      </x:c>
      <x:c r="Z8" s="47" t="n">
        <x:v>635000</x:v>
      </x:c>
      <x:c r="AA8" s="47" t="n">
        <x:v>707000</x:v>
      </x:c>
      <x:c r="AB8" s="46" t="n">
        <x:v>0.32666666666666666</x:v>
      </x:c>
      <x:c r="AC8" s="46" t="n">
        <x:v>0.2546948356807512</x:v>
      </x:c>
      <x:c r="AD8" s="48" t="n">
        <x:v>12800</x:v>
      </x:c>
      <x:c r="AE8" s="48" t="n">
        <x:v>10460</x:v>
      </x:c>
      <x:c r="AF8" s="46" t="n">
        <x:v>-0.05424518122104938</x:v>
      </x:c>
      <x:c r="AG8" s="48" t="n">
        <x:v>4</x:v>
      </x:c>
      <x:c r="AH8" s="49" t="n">
        <x:v>8</x:v>
      </x:c>
      <x:c r="AI8" s="46" t="n">
        <x:v>0.7401413923501969</x:v>
      </x:c>
      <x:c r="AJ8" s="50" t="str">
        <x:v>Entrega parcial aceita pelo cliente.</x:v>
      </x:c>
      <x:c r="AK8" s="45" t="n">
        <x:v>46257</x:v>
      </x:c>
    </x:row>
    <x:row r="9">
      <x:c r="A9" s="39" t="str">
        <x:v>ARQ-008</x:v>
      </x:c>
      <x:c r="B9" s="39" t="str">
        <x:v>Delta Center</x:v>
      </x:c>
      <x:c r="C9" s="39" t="str">
        <x:v>Grupo Atlântica</x:v>
      </x:c>
      <x:c r="D9" s="39" t="str">
        <x:v>Hotelaria</x:v>
      </x:c>
      <x:c r="E9" s="39" t="str">
        <x:v>Recife</x:v>
      </x:c>
      <x:c r="F9" s="39" t="str">
        <x:v>PE</x:v>
      </x:c>
      <x:c r="G9" s="39" t="str">
        <x:v>Rafael Nunes</x:v>
      </x:c>
      <x:c r="H9" s="39" t="str">
        <x:v>Felipe Andrade</x:v>
      </x:c>
      <x:c r="I9" s="39" t="str">
        <x:v>Estudo preliminar</x:v>
      </x:c>
      <x:c r="J9" s="39" t="str">
        <x:v>Em andamento</x:v>
      </x:c>
      <x:c r="K9" s="39" t="str">
        <x:v>Alto</x:v>
      </x:c>
      <x:c r="L9" s="45" t="n">
        <x:v>46035</x:v>
      </x:c>
      <x:c r="M9" s="39"/>
      <x:c r="N9" s="45" t="n">
        <x:v>46918</x:v>
      </x:c>
      <x:c r="O9" s="45" t="n">
        <x:v>46913</x:v>
      </x:c>
      <x:c r="P9" s="48" t="n">
        <x:v>-5</x:v>
      </x:c>
      <x:c r="Q9" s="46" t="n">
        <x:v>0.26047565118912797</x:v>
      </x:c>
      <x:c r="R9" s="46" t="n">
        <x:v>0.07749676477899964</x:v>
      </x:c>
      <x:c r="S9" s="46" t="n">
        <x:v>-0.18297888641012833</x:v>
      </x:c>
      <x:c r="T9" s="47" t="n">
        <x:v>1980000</x:v>
      </x:c>
      <x:c r="U9" s="47" t="n">
        <x:v>159000</x:v>
      </x:c>
      <x:c r="V9" s="47" t="n">
        <x:v>146000</x:v>
      </x:c>
      <x:c r="W9" s="47" t="n">
        <x:v>139000</x:v>
      </x:c>
      <x:c r="X9" s="47" t="n">
        <x:v>1821000</x:v>
      </x:c>
      <x:c r="Y9" s="47" t="n">
        <x:v>1283000</x:v>
      </x:c>
      <x:c r="Z9" s="47" t="n">
        <x:v>90000</x:v>
      </x:c>
      <x:c r="AA9" s="47" t="n">
        <x:v>1372000</x:v>
      </x:c>
      <x:c r="AB9" s="46" t="n">
        <x:v>0.30707070707070705</x:v>
      </x:c>
      <x:c r="AC9" s="46" t="n">
        <x:v>0.4339622641509434</x:v>
      </x:c>
      <x:c r="AD9" s="48" t="n">
        <x:v>20000</x:v>
      </x:c>
      <x:c r="AE9" s="48" t="n">
        <x:v>1490</x:v>
      </x:c>
      <x:c r="AF9" s="46" t="n">
        <x:v>-0.0029967647789996416</x:v>
      </x:c>
      <x:c r="AG9" s="48" t="n">
        <x:v>3</x:v>
      </x:c>
      <x:c r="AH9" s="49" t="n">
        <x:v>6.5</x:v>
      </x:c>
      <x:c r="AI9" s="46" t="n">
        <x:v>0.5446651672106236</x:v>
      </x:c>
      <x:c r="AJ9" s="50" t="str">
        <x:v>Projeto com potencial de expansão para nova unidade.</x:v>
      </x:c>
      <x:c r="AK9" s="45" t="n">
        <x:v>46249</x:v>
      </x:c>
    </x:row>
    <x:row r="10">
      <x:c r="A10" s="39" t="str">
        <x:v>ARQ-009</x:v>
      </x:c>
      <x:c r="B10" s="39" t="str">
        <x:v>Vértice Plaza</x:v>
      </x:c>
      <x:c r="C10" s="39" t="str">
        <x:v>Logis Brasil</x:v>
      </x:c>
      <x:c r="D10" s="39" t="str">
        <x:v>Varejo</x:v>
      </x:c>
      <x:c r="E10" s="39" t="str">
        <x:v>Campinas</x:v>
      </x:c>
      <x:c r="F10" s="39" t="str">
        <x:v>SP</x:v>
      </x:c>
      <x:c r="G10" s="39" t="str">
        <x:v>Helena Prado</x:v>
      </x:c>
      <x:c r="H10" s="39" t="str">
        <x:v>Gabriela Lopes</x:v>
      </x:c>
      <x:c r="I10" s="39" t="str">
        <x:v>Compatibilização</x:v>
      </x:c>
      <x:c r="J10" s="39" t="str">
        <x:v>Em andamento</x:v>
      </x:c>
      <x:c r="K10" s="39" t="str">
        <x:v>Alto</x:v>
      </x:c>
      <x:c r="L10" s="45" t="n">
        <x:v>45573</x:v>
      </x:c>
      <x:c r="M10" s="39"/>
      <x:c r="N10" s="45" t="n">
        <x:v>46395</x:v>
      </x:c>
      <x:c r="O10" s="45" t="n">
        <x:v>46512</x:v>
      </x:c>
      <x:c r="P10" s="48" t="n">
        <x:v>117</x:v>
      </x:c>
      <x:c r="Q10" s="46" t="n">
        <x:v>0.8418491484184915</x:v>
      </x:c>
      <x:c r="R10" s="46" t="n">
        <x:v>0.7928274330061094</x:v>
      </x:c>
      <x:c r="S10" s="46" t="n">
        <x:v>-0.049021715412382094</x:v>
      </x:c>
      <x:c r="T10" s="47" t="n">
        <x:v>1355000</x:v>
      </x:c>
      <x:c r="U10" s="47" t="n">
        <x:v>990000</x:v>
      </x:c>
      <x:c r="V10" s="47" t="n">
        <x:v>971000</x:v>
      </x:c>
      <x:c r="W10" s="47" t="n">
        <x:v>907000</x:v>
      </x:c>
      <x:c r="X10" s="47" t="n">
        <x:v>365000</x:v>
      </x:c>
      <x:c r="Y10" s="47" t="n">
        <x:v>873000</x:v>
      </x:c>
      <x:c r="Z10" s="47" t="n">
        <x:v>683000</x:v>
      </x:c>
      <x:c r="AA10" s="47" t="n">
        <x:v>994000</x:v>
      </x:c>
      <x:c r="AB10" s="46" t="n">
        <x:v>0.26642066420664207</x:v>
      </x:c>
      <x:c r="AC10" s="46" t="n">
        <x:v>0.3101010101010101</x:v>
      </x:c>
      <x:c r="AD10" s="48" t="n">
        <x:v>6450</x:v>
      </x:c>
      <x:c r="AE10" s="48" t="n">
        <x:v>5680</x:v>
      </x:c>
      <x:c r="AF10" s="46" t="n">
        <x:v>0.08779272203265032</x:v>
      </x:c>
      <x:c r="AG10" s="48" t="n">
        <x:v>6</x:v>
      </x:c>
      <x:c r="AH10" s="49" t="n">
        <x:v>8.3</x:v>
      </x:c>
      <x:c r="AI10" s="46" t="n">
        <x:v>0.7584340077452363</x:v>
      </x:c>
      <x:c r="AJ10" s="50" t="str">
        <x:v>Aprovação municipal é o principal ponto de atenção.</x:v>
      </x:c>
      <x:c r="AK10" s="45" t="n">
        <x:v>46264</x:v>
      </x:c>
    </x:row>
    <x:row r="11">
      <x:c r="A11" s="39" t="str">
        <x:v>ARQ-010</x:v>
      </x:c>
      <x:c r="B11" s="39" t="str">
        <x:v>Lume Living</x:v>
      </x:c>
      <x:c r="C11" s="39" t="str">
        <x:v>Grupo Atlântica</x:v>
      </x:c>
      <x:c r="D11" s="39" t="str">
        <x:v>Hotelaria</x:v>
      </x:c>
      <x:c r="E11" s="39" t="str">
        <x:v>Campinas</x:v>
      </x:c>
      <x:c r="F11" s="39" t="str">
        <x:v>SP</x:v>
      </x:c>
      <x:c r="G11" s="39" t="str">
        <x:v>Marina Costa</x:v>
      </x:c>
      <x:c r="H11" s="39" t="str">
        <x:v>Hugo Tavares</x:v>
      </x:c>
      <x:c r="I11" s="39" t="str">
        <x:v>Acompanhamento de obra</x:v>
      </x:c>
      <x:c r="J11" s="39" t="str">
        <x:v>Concluido</x:v>
      </x:c>
      <x:c r="K11" s="39" t="str">
        <x:v>Medio</x:v>
      </x:c>
      <x:c r="L11" s="45" t="n">
        <x:v>45654</x:v>
      </x:c>
      <x:c r="M11" s="39"/>
      <x:c r="N11" s="45" t="n">
        <x:v>45898</x:v>
      </x:c>
      <x:c r="O11" s="45" t="n">
        <x:v>45885</x:v>
      </x:c>
      <x:c r="P11" s="48" t="n">
        <x:v>-13</x:v>
      </x:c>
      <x:c r="Q11" s="46" t="n">
        <x:v>1</x:v>
      </x:c>
      <x:c r="R11" s="46" t="n">
        <x:v>1</x:v>
      </x:c>
      <x:c r="S11" s="46" t="n">
        <x:v>0</x:v>
      </x:c>
      <x:c r="T11" s="47" t="n">
        <x:v>2885000</x:v>
      </x:c>
      <x:c r="U11" s="47" t="n">
        <x:v>2651000</x:v>
      </x:c>
      <x:c r="V11" s="47" t="n">
        <x:v>2858000</x:v>
      </x:c>
      <x:c r="W11" s="47" t="n">
        <x:v>2446000</x:v>
      </x:c>
      <x:c r="X11" s="47" t="n">
        <x:v>234000</x:v>
      </x:c>
      <x:c r="Y11" s="47" t="n">
        <x:v>1769000</x:v>
      </x:c>
      <x:c r="Z11" s="47" t="n">
        <x:v>1739000</x:v>
      </x:c>
      <x:c r="AA11" s="47" t="n">
        <x:v>1914000</x:v>
      </x:c>
      <x:c r="AB11" s="46" t="n">
        <x:v>0.3365684575389948</x:v>
      </x:c>
      <x:c r="AC11" s="46" t="n">
        <x:v>0.3440211241041117</x:v>
      </x:c>
      <x:c r="AD11" s="48" t="n">
        <x:v>13750</x:v>
      </x:c>
      <x:c r="AE11" s="48" t="n">
        <x:v>14840</x:v>
      </x:c>
      <x:c r="AF11" s="46" t="n">
        <x:v>0.07927272727272738</x:v>
      </x:c>
      <x:c r="AG11" s="48" t="n">
        <x:v>2</x:v>
      </x:c>
      <x:c r="AH11" s="49" t="n">
        <x:v>8.4</x:v>
      </x:c>
      <x:c r="AI11" s="46" t="n">
        <x:v>0.7955895611736924</x:v>
      </x:c>
      <x:c r="AJ11" s="50" t="str">
        <x:v>Cronograma depende da contratação de consultoria especializada.</x:v>
      </x:c>
      <x:c r="AK11" s="45" t="n">
        <x:v>46254</x:v>
      </x:c>
    </x:row>
    <x:row r="12">
      <x:c r="A12" s="39" t="str">
        <x:v>ARQ-011</x:v>
      </x:c>
      <x:c r="B12" s="39" t="str">
        <x:v>Mosaico Park</x:v>
      </x:c>
      <x:c r="C12" s="39" t="str">
        <x:v>Nexo Empreendimentos</x:v>
      </x:c>
      <x:c r="D12" s="39" t="str">
        <x:v>Hotelaria</x:v>
      </x:c>
      <x:c r="E12" s="39" t="str">
        <x:v>Natal</x:v>
      </x:c>
      <x:c r="F12" s="39" t="str">
        <x:v>RN</x:v>
      </x:c>
      <x:c r="G12" s="39" t="str">
        <x:v>Marina Costa</x:v>
      </x:c>
      <x:c r="H12" s="39" t="str">
        <x:v>Daniel Freitas</x:v>
      </x:c>
      <x:c r="I12" s="39" t="str">
        <x:v>Compatibilização</x:v>
      </x:c>
      <x:c r="J12" s="39" t="str">
        <x:v>Em andamento</x:v>
      </x:c>
      <x:c r="K12" s="39" t="str">
        <x:v>Baixo</x:v>
      </x:c>
      <x:c r="L12" s="45" t="n">
        <x:v>45659</x:v>
      </x:c>
      <x:c r="M12" s="39"/>
      <x:c r="N12" s="45" t="n">
        <x:v>46511</x:v>
      </x:c>
      <x:c r="O12" s="45" t="n">
        <x:v>46526</x:v>
      </x:c>
      <x:c r="P12" s="48" t="n">
        <x:v>15</x:v>
      </x:c>
      <x:c r="Q12" s="46" t="n">
        <x:v>0.7112676056338029</x:v>
      </x:c>
      <x:c r="R12" s="46" t="n">
        <x:v>0.690641980015535</x:v>
      </x:c>
      <x:c r="S12" s="46" t="n">
        <x:v>-0.020625625618267862</x:v>
      </x:c>
      <x:c r="T12" s="47" t="n">
        <x:v>2595000</x:v>
      </x:c>
      <x:c r="U12" s="47" t="n">
        <x:v>1748000</x:v>
      </x:c>
      <x:c r="V12" s="47" t="n">
        <x:v>1780000</x:v>
      </x:c>
      <x:c r="W12" s="47" t="n">
        <x:v>1647000</x:v>
      </x:c>
      <x:c r="X12" s="47" t="n">
        <x:v>847000</x:v>
      </x:c>
      <x:c r="Y12" s="47" t="n">
        <x:v>1538000</x:v>
      </x:c>
      <x:c r="Z12" s="47" t="n">
        <x:v>1007000</x:v>
      </x:c>
      <x:c r="AA12" s="47" t="n">
        <x:v>1571000</x:v>
      </x:c>
      <x:c r="AB12" s="46" t="n">
        <x:v>0.3946050096339114</x:v>
      </x:c>
      <x:c r="AC12" s="46" t="n">
        <x:v>0.42391304347826086</x:v>
      </x:c>
      <x:c r="AD12" s="48" t="n">
        <x:v>12200</x:v>
      </x:c>
      <x:c r="AE12" s="48" t="n">
        <x:v>7970</x:v>
      </x:c>
      <x:c r="AF12" s="46" t="n">
        <x:v>-0.03736329149094486</x:v>
      </x:c>
      <x:c r="AG12" s="48" t="n">
        <x:v>5</x:v>
      </x:c>
      <x:c r="AH12" s="49" t="n">
        <x:v>7.5</x:v>
      </x:c>
      <x:c r="AI12" s="46" t="n">
        <x:v>0.6807931270822882</x:v>
      </x:c>
      <x:c r="AJ12" s="50" t="str">
        <x:v>Cronograma depende da contratação de consultoria especializada.</x:v>
      </x:c>
      <x:c r="AK12" s="45" t="n">
        <x:v>46246</x:v>
      </x:c>
    </x:row>
    <x:row r="13">
      <x:c r="A13" s="39" t="str">
        <x:v>ARQ-012</x:v>
      </x:c>
      <x:c r="B13" s="39" t="str">
        <x:v>Aurora Complex</x:v>
      </x:c>
      <x:c r="C13" s="39" t="str">
        <x:v>Nova Era Saúde</x:v>
      </x:c>
      <x:c r="D13" s="39" t="str">
        <x:v>Urbanismo</x:v>
      </x:c>
      <x:c r="E13" s="39" t="str">
        <x:v>Campinas</x:v>
      </x:c>
      <x:c r="F13" s="39" t="str">
        <x:v>SP</x:v>
      </x:c>
      <x:c r="G13" s="39" t="str">
        <x:v>Helena Prado</x:v>
      </x:c>
      <x:c r="H13" s="39" t="str">
        <x:v>Bianca Rocha</x:v>
      </x:c>
      <x:c r="I13" s="39" t="str">
        <x:v>Estudo preliminar</x:v>
      </x:c>
      <x:c r="J13" s="39" t="str">
        <x:v>Em andamento</x:v>
      </x:c>
      <x:c r="K13" s="39" t="str">
        <x:v>Medio</x:v>
      </x:c>
      <x:c r="L13" s="45" t="n">
        <x:v>46168</x:v>
      </x:c>
      <x:c r="M13" s="39"/>
      <x:c r="N13" s="45" t="n">
        <x:v>46503</x:v>
      </x:c>
      <x:c r="O13" s="45" t="n">
        <x:v>46548</x:v>
      </x:c>
      <x:c r="P13" s="48" t="n">
        <x:v>45</x:v>
      </x:c>
      <x:c r="Q13" s="46" t="n">
        <x:v>0.28955223880597014</x:v>
      </x:c>
      <x:c r="R13" s="46" t="n">
        <x:v>0.13947761458466384</x:v>
      </x:c>
      <x:c r="S13" s="46" t="n">
        <x:v>-0.1500746242213063</x:v>
      </x:c>
      <x:c r="T13" s="47" t="n">
        <x:v>2095000</x:v>
      </x:c>
      <x:c r="U13" s="47" t="n">
        <x:v>296000</x:v>
      </x:c>
      <x:c r="V13" s="47" t="n">
        <x:v>282000</x:v>
      </x:c>
      <x:c r="W13" s="47" t="n">
        <x:v>242000</x:v>
      </x:c>
      <x:c r="X13" s="47" t="n">
        <x:v>1799000</x:v>
      </x:c>
      <x:c r="Y13" s="47" t="n">
        <x:v>1358000</x:v>
      </x:c>
      <x:c r="Z13" s="47" t="n">
        <x:v>221000</x:v>
      </x:c>
      <x:c r="AA13" s="47" t="n">
        <x:v>1325000</x:v>
      </x:c>
      <x:c r="AB13" s="46" t="n">
        <x:v>0.36754176610978523</x:v>
      </x:c>
      <x:c r="AC13" s="46" t="n">
        <x:v>0.2533783783783784</x:v>
      </x:c>
      <x:c r="AD13" s="48" t="n">
        <x:v>18600</x:v>
      </x:c>
      <x:c r="AE13" s="48" t="n">
        <x:v>3000</x:v>
      </x:c>
      <x:c r="AF13" s="46" t="n">
        <x:v>0.021812707995981312</x:v>
      </x:c>
      <x:c r="AG13" s="48" t="n">
        <x:v>3</x:v>
      </x:c>
      <x:c r="AH13" s="49" t="n">
        <x:v>9.2</x:v>
      </x:c>
      <x:c r="AI13" s="46" t="n">
        <x:v>0.8399746732320637</x:v>
      </x:c>
      <x:c r="AJ13" s="50" t="str">
        <x:v>Margem pressionada por horas adicionais não faturadas.</x:v>
      </x:c>
      <x:c r="AK13" s="45" t="n">
        <x:v>46260</x:v>
      </x:c>
    </x:row>
    <x:row r="14">
      <x:c r="A14" s="39" t="str">
        <x:v>ARQ-013</x:v>
      </x:c>
      <x:c r="B14" s="39" t="str">
        <x:v>Norte Residence</x:v>
      </x:c>
      <x:c r="C14" s="39" t="str">
        <x:v>Viva Incorporadora</x:v>
      </x:c>
      <x:c r="D14" s="39" t="str">
        <x:v>Industrial</x:v>
      </x:c>
      <x:c r="E14" s="39" t="str">
        <x:v>Salvador</x:v>
      </x:c>
      <x:c r="F14" s="39" t="str">
        <x:v>BA</x:v>
      </x:c>
      <x:c r="G14" s="39" t="str">
        <x:v>Rafael Nunes</x:v>
      </x:c>
      <x:c r="H14" s="39" t="str">
        <x:v>Bianca Rocha</x:v>
      </x:c>
      <x:c r="I14" s="39" t="str">
        <x:v>Projeto legal</x:v>
      </x:c>
      <x:c r="J14" s="39" t="str">
        <x:v>Em andamento</x:v>
      </x:c>
      <x:c r="K14" s="39" t="str">
        <x:v>Medio</x:v>
      </x:c>
      <x:c r="L14" s="45" t="n">
        <x:v>45741</x:v>
      </x:c>
      <x:c r="M14" s="39"/>
      <x:c r="N14" s="45" t="n">
        <x:v>46624</x:v>
      </x:c>
      <x:c r="O14" s="45" t="n">
        <x:v>46715</x:v>
      </x:c>
      <x:c r="P14" s="48" t="n">
        <x:v>91</x:v>
      </x:c>
      <x:c r="Q14" s="46" t="n">
        <x:v>0.5934314835787089</x:v>
      </x:c>
      <x:c r="R14" s="46" t="n">
        <x:v>0.48129996654980717</x:v>
      </x:c>
      <x:c r="S14" s="46" t="n">
        <x:v>-0.11213151702890173</x:v>
      </x:c>
      <x:c r="T14" s="47" t="n">
        <x:v>1550000</x:v>
      </x:c>
      <x:c r="U14" s="47" t="n">
        <x:v>662000</x:v>
      </x:c>
      <x:c r="V14" s="47" t="n">
        <x:v>677000</x:v>
      </x:c>
      <x:c r="W14" s="47" t="n">
        <x:v>597000</x:v>
      </x:c>
      <x:c r="X14" s="47" t="n">
        <x:v>888000</x:v>
      </x:c>
      <x:c r="Y14" s="47" t="n">
        <x:v>1062000</x:v>
      </x:c>
      <x:c r="Z14" s="47" t="n">
        <x:v>565000</x:v>
      </x:c>
      <x:c r="AA14" s="47" t="n">
        <x:v>1064000</x:v>
      </x:c>
      <x:c r="AB14" s="46" t="n">
        <x:v>0.3135483870967742</x:v>
      </x:c>
      <x:c r="AC14" s="46" t="n">
        <x:v>0.14652567975830816</x:v>
      </x:c>
      <x:c r="AD14" s="48" t="n">
        <x:v>19400</x:v>
      </x:c>
      <x:c r="AE14" s="48" t="n">
        <x:v>8720</x:v>
      </x:c>
      <x:c r="AF14" s="46" t="n">
        <x:v>-0.03181543046733293</x:v>
      </x:c>
      <x:c r="AG14" s="48" t="n">
        <x:v>3</x:v>
      </x:c>
      <x:c r="AH14" s="49" t="n">
        <x:v>9.8</x:v>
      </x:c>
      <x:c r="AI14" s="46" t="n">
        <x:v>0.9498083528317512</x:v>
      </x:c>
      <x:c r="AJ14" s="50" t="str">
        <x:v>Revisão de layout solicitada pelo operador.</x:v>
      </x:c>
      <x:c r="AK14" s="45" t="n">
        <x:v>46260</x:v>
      </x:c>
    </x:row>
    <x:row r="15">
      <x:c r="A15" s="39" t="str">
        <x:v>ARQ-014</x:v>
      </x:c>
      <x:c r="B15" s="39" t="str">
        <x:v>Horizonte Village</x:v>
      </x:c>
      <x:c r="C15" s="39" t="str">
        <x:v>Cais Urbanismo</x:v>
      </x:c>
      <x:c r="D15" s="39" t="str">
        <x:v>Hospitalar</x:v>
      </x:c>
      <x:c r="E15" s="39" t="str">
        <x:v>Eusébio</x:v>
      </x:c>
      <x:c r="F15" s="39" t="str">
        <x:v>CE</x:v>
      </x:c>
      <x:c r="G15" s="39" t="str">
        <x:v>Marina Costa</x:v>
      </x:c>
      <x:c r="H15" s="39" t="str">
        <x:v>Gabriela Lopes</x:v>
      </x:c>
      <x:c r="I15" s="39" t="str">
        <x:v>Acompanhamento de obra</x:v>
      </x:c>
      <x:c r="J15" s="39" t="str">
        <x:v>Concluido</x:v>
      </x:c>
      <x:c r="K15" s="39" t="str">
        <x:v>Alto</x:v>
      </x:c>
      <x:c r="L15" s="45" t="n">
        <x:v>45886</x:v>
      </x:c>
      <x:c r="M15" s="39"/>
      <x:c r="N15" s="45" t="n">
        <x:v>46099</x:v>
      </x:c>
      <x:c r="O15" s="45" t="n">
        <x:v>46148</x:v>
      </x:c>
      <x:c r="P15" s="48" t="n">
        <x:v>49</x:v>
      </x:c>
      <x:c r="Q15" s="46" t="n">
        <x:v>1</x:v>
      </x:c>
      <x:c r="R15" s="46" t="n">
        <x:v>1</x:v>
      </x:c>
      <x:c r="S15" s="46" t="n">
        <x:v>0</x:v>
      </x:c>
      <x:c r="T15" s="47" t="n">
        <x:v>985000</x:v>
      </x:c>
      <x:c r="U15" s="47" t="n">
        <x:v>881000</x:v>
      </x:c>
      <x:c r="V15" s="47" t="n">
        <x:v>910000</x:v>
      </x:c>
      <x:c r="W15" s="47" t="n">
        <x:v>885000</x:v>
      </x:c>
      <x:c r="X15" s="47" t="n">
        <x:v>104000</x:v>
      </x:c>
      <x:c r="Y15" s="47" t="n">
        <x:v>657000</x:v>
      </x:c>
      <x:c r="Z15" s="47" t="n">
        <x:v>652000</x:v>
      </x:c>
      <x:c r="AA15" s="47" t="n">
        <x:v>748000</x:v>
      </x:c>
      <x:c r="AB15" s="46" t="n">
        <x:v>0.24060913705583756</x:v>
      </x:c>
      <x:c r="AC15" s="46" t="n">
        <x:v>0.2599318955732123</x:v>
      </x:c>
      <x:c r="AD15" s="48" t="n">
        <x:v>19800</x:v>
      </x:c>
      <x:c r="AE15" s="48" t="n">
        <x:v>21190</x:v>
      </x:c>
      <x:c r="AF15" s="46" t="n">
        <x:v>0.07020202020202015</x:v>
      </x:c>
      <x:c r="AG15" s="48" t="n">
        <x:v>1</x:v>
      </x:c>
      <x:c r="AH15" s="49" t="n">
        <x:v>7.8</x:v>
      </x:c>
      <x:c r="AI15" s="46" t="n">
        <x:v>0.7876015349943191</x:v>
      </x:c>
      <x:c r="AJ15" s="50" t="str">
        <x:v>Projeto com potencial de expansão para nova unidade.</x:v>
      </x:c>
      <x:c r="AK15" s="45" t="n">
        <x:v>46247</x:v>
      </x:c>
    </x:row>
    <x:row r="16">
      <x:c r="A16" s="39" t="str">
        <x:v>ARQ-015</x:v>
      </x:c>
      <x:c r="B16" s="39" t="str">
        <x:v>Estacao Plaza</x:v>
      </x:c>
      <x:c r="C16" s="39" t="str">
        <x:v>Grupo Atlântica</x:v>
      </x:c>
      <x:c r="D16" s="39" t="str">
        <x:v>Urbanismo</x:v>
      </x:c>
      <x:c r="E16" s="39" t="str">
        <x:v>Fortaleza</x:v>
      </x:c>
      <x:c r="F16" s="39" t="str">
        <x:v>CE</x:v>
      </x:c>
      <x:c r="G16" s="39" t="str">
        <x:v>Marina Costa</x:v>
      </x:c>
      <x:c r="H16" s="39" t="str">
        <x:v>Felipe Andrade</x:v>
      </x:c>
      <x:c r="I16" s="39" t="str">
        <x:v>Acompanhamento de obra</x:v>
      </x:c>
      <x:c r="J16" s="39" t="str">
        <x:v>Concluido</x:v>
      </x:c>
      <x:c r="K16" s="39" t="str">
        <x:v>Alto</x:v>
      </x:c>
      <x:c r="L16" s="45" t="n">
        <x:v>45374</x:v>
      </x:c>
      <x:c r="M16" s="39"/>
      <x:c r="N16" s="45" t="n">
        <x:v>45952</x:v>
      </x:c>
      <x:c r="O16" s="45" t="n">
        <x:v>45993</x:v>
      </x:c>
      <x:c r="P16" s="48" t="n">
        <x:v>41</x:v>
      </x:c>
      <x:c r="Q16" s="46" t="n">
        <x:v>1</x:v>
      </x:c>
      <x:c r="R16" s="46" t="n">
        <x:v>1</x:v>
      </x:c>
      <x:c r="S16" s="46" t="n">
        <x:v>0</x:v>
      </x:c>
      <x:c r="T16" s="47" t="n">
        <x:v>3315000</x:v>
      </x:c>
      <x:c r="U16" s="47" t="n">
        <x:v>3077000</x:v>
      </x:c>
      <x:c r="V16" s="47" t="n">
        <x:v>3067000</x:v>
      </x:c>
      <x:c r="W16" s="47" t="n">
        <x:v>2969000</x:v>
      </x:c>
      <x:c r="X16" s="47" t="n">
        <x:v>238000</x:v>
      </x:c>
      <x:c r="Y16" s="47" t="n">
        <x:v>2103000</x:v>
      </x:c>
      <x:c r="Z16" s="47" t="n">
        <x:v>2375000</x:v>
      </x:c>
      <x:c r="AA16" s="47" t="n">
        <x:v>2392000</x:v>
      </x:c>
      <x:c r="AB16" s="46" t="n">
        <x:v>0.2784313725490196</x:v>
      </x:c>
      <x:c r="AC16" s="46" t="n">
        <x:v>0.22814429639259018</x:v>
      </x:c>
      <x:c r="AD16" s="48" t="n">
        <x:v>29950</x:v>
      </x:c>
      <x:c r="AE16" s="48" t="n">
        <x:v>28560</x:v>
      </x:c>
      <x:c r="AF16" s="46" t="n">
        <x:v>-0.046410684474123554</x:v>
      </x:c>
      <x:c r="AG16" s="48" t="n">
        <x:v>6</x:v>
      </x:c>
      <x:c r="AH16" s="49" t="n">
        <x:v>7.2</x:v>
      </x:c>
      <x:c r="AI16" s="46" t="n">
        <x:v>0.6517804538458586</x:v>
      </x:c>
      <x:c r="AJ16" s="50" t="str">
        <x:v>Equipe reforçada para recuperar o cronograma.</x:v>
      </x:c>
      <x:c r="AK16" s="45" t="n">
        <x:v>46258</x:v>
      </x:c>
    </x:row>
    <x:row r="17">
      <x:c r="A17" s="39" t="str">
        <x:v>ARQ-016</x:v>
      </x:c>
      <x:c r="B17" s="39" t="str">
        <x:v>Horizonte Living</x:v>
      </x:c>
      <x:c r="C17" s="39" t="str">
        <x:v>Nova Era Saúde</x:v>
      </x:c>
      <x:c r="D17" s="39" t="str">
        <x:v>Hospitalar</x:v>
      </x:c>
      <x:c r="E17" s="39" t="str">
        <x:v>Fortaleza</x:v>
      </x:c>
      <x:c r="F17" s="39" t="str">
        <x:v>CE</x:v>
      </x:c>
      <x:c r="G17" s="39" t="str">
        <x:v>Helena Prado</x:v>
      </x:c>
      <x:c r="H17" s="39" t="str">
        <x:v>Bianca Rocha</x:v>
      </x:c>
      <x:c r="I17" s="39" t="str">
        <x:v>Estudo preliminar</x:v>
      </x:c>
      <x:c r="J17" s="39" t="str">
        <x:v>Em andamento</x:v>
      </x:c>
      <x:c r="K17" s="39" t="str">
        <x:v>Medio</x:v>
      </x:c>
      <x:c r="L17" s="45" t="n">
        <x:v>46158</x:v>
      </x:c>
      <x:c r="M17" s="39"/>
      <x:c r="N17" s="45" t="n">
        <x:v>46767</x:v>
      </x:c>
      <x:c r="O17" s="45" t="n">
        <x:v>46781</x:v>
      </x:c>
      <x:c r="P17" s="48" t="n">
        <x:v>14</x:v>
      </x:c>
      <x:c r="Q17" s="46" t="n">
        <x:v>0.17569786535303777</x:v>
      </x:c>
      <x:c r="R17" s="46" t="n">
        <x:v>0.026442814776280132</x:v>
      </x:c>
      <x:c r="S17" s="46" t="n">
        <x:v>-0.14925505057675764</x:v>
      </x:c>
      <x:c r="T17" s="47" t="n">
        <x:v>1435000</x:v>
      </x:c>
      <x:c r="U17" s="47" t="n">
        <x:v>40000</x:v>
      </x:c>
      <x:c r="V17" s="47" t="n">
        <x:v>41000</x:v>
      </x:c>
      <x:c r="W17" s="47" t="n">
        <x:v>32000</x:v>
      </x:c>
      <x:c r="X17" s="47" t="n">
        <x:v>1395000</x:v>
      </x:c>
      <x:c r="Y17" s="47" t="n">
        <x:v>905000</x:v>
      </x:c>
      <x:c r="Z17" s="47" t="n">
        <x:v>25000</x:v>
      </x:c>
      <x:c r="AA17" s="47" t="n">
        <x:v>852000</x:v>
      </x:c>
      <x:c r="AB17" s="46" t="n">
        <x:v>0.4062717770034843</x:v>
      </x:c>
      <x:c r="AC17" s="46" t="n">
        <x:v>0.375</x:v>
      </x:c>
      <x:c r="AD17" s="48" t="n">
        <x:v>9600</x:v>
      </x:c>
      <x:c r="AE17" s="48" t="n">
        <x:v>260</x:v>
      </x:c>
      <x:c r="AF17" s="46" t="n">
        <x:v>0.0006405185570532018</x:v>
      </x:c>
      <x:c r="AG17" s="48" t="n">
        <x:v>3</x:v>
      </x:c>
      <x:c r="AH17" s="49" t="n">
        <x:v>7.2</x:v>
      </x:c>
      <x:c r="AI17" s="46" t="n">
        <x:v>0.6896204255055636</x:v>
      </x:c>
      <x:c r="AJ17" s="50" t="str">
        <x:v>Sem ocorrências relevantes no período.</x:v>
      </x:c>
      <x:c r="AK17" s="45" t="n">
        <x:v>46246</x:v>
      </x:c>
    </x:row>
    <x:row r="18">
      <x:c r="A18" s="39" t="str">
        <x:v>ARQ-017</x:v>
      </x:c>
      <x:c r="B18" s="39" t="str">
        <x:v>Horizonte Tower</x:v>
      </x:c>
      <x:c r="C18" s="39" t="str">
        <x:v>Logis Brasil</x:v>
      </x:c>
      <x:c r="D18" s="39" t="str">
        <x:v>Urbanismo</x:v>
      </x:c>
      <x:c r="E18" s="39" t="str">
        <x:v>Salvador</x:v>
      </x:c>
      <x:c r="F18" s="39" t="str">
        <x:v>BA</x:v>
      </x:c>
      <x:c r="G18" s="39" t="str">
        <x:v>Rafael Nunes</x:v>
      </x:c>
      <x:c r="H18" s="39" t="str">
        <x:v>Daniel Freitas</x:v>
      </x:c>
      <x:c r="I18" s="39" t="str">
        <x:v>Acompanhamento de obra</x:v>
      </x:c>
      <x:c r="J18" s="39" t="str">
        <x:v>Concluido</x:v>
      </x:c>
      <x:c r="K18" s="39" t="str">
        <x:v>Alto</x:v>
      </x:c>
      <x:c r="L18" s="45" t="n">
        <x:v>45353</x:v>
      </x:c>
      <x:c r="M18" s="39"/>
      <x:c r="N18" s="45" t="n">
        <x:v>46175</x:v>
      </x:c>
      <x:c r="O18" s="45" t="n">
        <x:v>46202</x:v>
      </x:c>
      <x:c r="P18" s="48" t="n">
        <x:v>27</x:v>
      </x:c>
      <x:c r="Q18" s="46" t="n">
        <x:v>1</x:v>
      </x:c>
      <x:c r="R18" s="46" t="n">
        <x:v>1</x:v>
      </x:c>
      <x:c r="S18" s="46" t="n">
        <x:v>0</x:v>
      </x:c>
      <x:c r="T18" s="47" t="n">
        <x:v>1360000</x:v>
      </x:c>
      <x:c r="U18" s="47" t="n">
        <x:v>1296000</x:v>
      </x:c>
      <x:c r="V18" s="47" t="n">
        <x:v>1271000</x:v>
      </x:c>
      <x:c r="W18" s="47" t="n">
        <x:v>1245000</x:v>
      </x:c>
      <x:c r="X18" s="47" t="n">
        <x:v>64000</x:v>
      </x:c>
      <x:c r="Y18" s="47" t="n">
        <x:v>878000</x:v>
      </x:c>
      <x:c r="Z18" s="47" t="n">
        <x:v>1016000</x:v>
      </x:c>
      <x:c r="AA18" s="47" t="n">
        <x:v>1016000</x:v>
      </x:c>
      <x:c r="AB18" s="46" t="n">
        <x:v>0.2529411764705882</x:v>
      </x:c>
      <x:c r="AC18" s="46" t="n">
        <x:v>0.21604938271604937</x:v>
      </x:c>
      <x:c r="AD18" s="48" t="n">
        <x:v>18600</x:v>
      </x:c>
      <x:c r="AE18" s="48" t="n">
        <x:v>19170</x:v>
      </x:c>
      <x:c r="AF18" s="46" t="n">
        <x:v>0.030645161290322687</x:v>
      </x:c>
      <x:c r="AG18" s="48" t="n">
        <x:v>6</x:v>
      </x:c>
      <x:c r="AH18" s="49" t="n">
        <x:v>8.4</x:v>
      </x:c>
      <x:c r="AI18" s="46" t="n">
        <x:v>0.7670521759055555</x:v>
      </x:c>
      <x:c r="AJ18" s="50" t="str">
        <x:v>Compatibilização BIM reduziu interferências críticas.</x:v>
      </x:c>
      <x:c r="AK18" s="45" t="n">
        <x:v>46255</x:v>
      </x:c>
    </x:row>
    <x:row r="19">
      <x:c r="A19" s="39" t="str">
        <x:v>ARQ-018</x:v>
      </x:c>
      <x:c r="B19" s="39" t="str">
        <x:v>Icaro Mall</x:v>
      </x:c>
      <x:c r="C19" s="39" t="str">
        <x:v>Nova Era Saúde</x:v>
      </x:c>
      <x:c r="D19" s="39" t="str">
        <x:v>Hotelaria</x:v>
      </x:c>
      <x:c r="E19" s="39" t="str">
        <x:v>Salvador</x:v>
      </x:c>
      <x:c r="F19" s="39" t="str">
        <x:v>BA</x:v>
      </x:c>
      <x:c r="G19" s="39" t="str">
        <x:v>Helena Prado</x:v>
      </x:c>
      <x:c r="H19" s="39" t="str">
        <x:v>Gabriela Lopes</x:v>
      </x:c>
      <x:c r="I19" s="39" t="str">
        <x:v>Projeto legal</x:v>
      </x:c>
      <x:c r="J19" s="39" t="str">
        <x:v>Em andamento</x:v>
      </x:c>
      <x:c r="K19" s="39" t="str">
        <x:v>Alto</x:v>
      </x:c>
      <x:c r="L19" s="45" t="n">
        <x:v>46010</x:v>
      </x:c>
      <x:c r="M19" s="39"/>
      <x:c r="N19" s="45" t="n">
        <x:v>46497</x:v>
      </x:c>
      <x:c r="O19" s="45" t="n">
        <x:v>46493</x:v>
      </x:c>
      <x:c r="P19" s="48" t="n">
        <x:v>-4</x:v>
      </x:c>
      <x:c r="Q19" s="46" t="n">
        <x:v>0.5236139630390144</x:v>
      </x:c>
      <x:c r="R19" s="46" t="n">
        <x:v>0.3389865464976802</x:v>
      </x:c>
      <x:c r="S19" s="46" t="n">
        <x:v>-0.18462741654133424</x:v>
      </x:c>
      <x:c r="T19" s="47" t="n">
        <x:v>1785000</x:v>
      </x:c>
      <x:c r="U19" s="47" t="n">
        <x:v>564000</x:v>
      </x:c>
      <x:c r="V19" s="47" t="n">
        <x:v>587000</x:v>
      </x:c>
      <x:c r="W19" s="47" t="n">
        <x:v>537000</x:v>
      </x:c>
      <x:c r="X19" s="47" t="n">
        <x:v>1221000</x:v>
      </x:c>
      <x:c r="Y19" s="47" t="n">
        <x:v>1045000</x:v>
      </x:c>
      <x:c r="Z19" s="47" t="n">
        <x:v>394000</x:v>
      </x:c>
      <x:c r="AA19" s="47" t="n">
        <x:v>1096000</x:v>
      </x:c>
      <x:c r="AB19" s="46" t="n">
        <x:v>0.38599439775910366</x:v>
      </x:c>
      <x:c r="AC19" s="46" t="n">
        <x:v>0.30141843971631205</x:v>
      </x:c>
      <x:c r="AD19" s="48" t="n">
        <x:v>13250</x:v>
      </x:c>
      <x:c r="AE19" s="48" t="n">
        <x:v>4390</x:v>
      </x:c>
      <x:c r="AF19" s="46" t="n">
        <x:v>-0.007665791780699038</x:v>
      </x:c>
      <x:c r="AG19" s="48" t="n">
        <x:v>2</x:v>
      </x:c>
      <x:c r="AH19" s="49" t="n">
        <x:v>8.8</x:v>
      </x:c>
      <x:c r="AI19" s="46" t="n">
        <x:v>0.8490281661693008</x:v>
      </x:c>
      <x:c r="AJ19" s="50" t="str">
        <x:v>Aprovação municipal é o principal ponto de atenção.</x:v>
      </x:c>
      <x:c r="AK19" s="45" t="n">
        <x:v>46265</x:v>
      </x:c>
    </x:row>
    <x:row r="20">
      <x:c r="A20" s="39" t="str">
        <x:v>ARQ-019</x:v>
      </x:c>
      <x:c r="B20" s="39" t="str">
        <x:v>Horizonte Mall</x:v>
      </x:c>
      <x:c r="C20" s="39" t="str">
        <x:v>Viva Incorporadora</x:v>
      </x:c>
      <x:c r="D20" s="39" t="str">
        <x:v>Hotelaria</x:v>
      </x:c>
      <x:c r="E20" s="39" t="str">
        <x:v>Natal</x:v>
      </x:c>
      <x:c r="F20" s="39" t="str">
        <x:v>RN</x:v>
      </x:c>
      <x:c r="G20" s="39" t="str">
        <x:v>Caio Martins</x:v>
      </x:c>
      <x:c r="H20" s="39" t="str">
        <x:v>Felipe Andrade</x:v>
      </x:c>
      <x:c r="I20" s="39" t="str">
        <x:v>Acompanhamento de obra</x:v>
      </x:c>
      <x:c r="J20" s="39" t="str">
        <x:v>Concluido</x:v>
      </x:c>
      <x:c r="K20" s="39" t="str">
        <x:v>Alto</x:v>
      </x:c>
      <x:c r="L20" s="45" t="n">
        <x:v>45644</x:v>
      </x:c>
      <x:c r="M20" s="39"/>
      <x:c r="N20" s="45" t="n">
        <x:v>45979</x:v>
      </x:c>
      <x:c r="O20" s="45" t="n">
        <x:v>46011</x:v>
      </x:c>
      <x:c r="P20" s="48" t="n">
        <x:v>32</x:v>
      </x:c>
      <x:c r="Q20" s="46" t="n">
        <x:v>1</x:v>
      </x:c>
      <x:c r="R20" s="46" t="n">
        <x:v>1</x:v>
      </x:c>
      <x:c r="S20" s="46" t="n">
        <x:v>0</x:v>
      </x:c>
      <x:c r="T20" s="47" t="n">
        <x:v>885000</x:v>
      </x:c>
      <x:c r="U20" s="47" t="n">
        <x:v>786000</x:v>
      </x:c>
      <x:c r="V20" s="47" t="n">
        <x:v>828000</x:v>
      </x:c>
      <x:c r="W20" s="47" t="n">
        <x:v>740000</x:v>
      </x:c>
      <x:c r="X20" s="47" t="n">
        <x:v>99000</x:v>
      </x:c>
      <x:c r="Y20" s="47" t="n">
        <x:v>594000</x:v>
      </x:c>
      <x:c r="Z20" s="47" t="n">
        <x:v>674000</x:v>
      </x:c>
      <x:c r="AA20" s="47" t="n">
        <x:v>674000</x:v>
      </x:c>
      <x:c r="AB20" s="46" t="n">
        <x:v>0.2384180790960452</x:v>
      </x:c>
      <x:c r="AC20" s="46" t="n">
        <x:v>0.14249363867684478</x:v>
      </x:c>
      <x:c r="AD20" s="48" t="n">
        <x:v>8550</x:v>
      </x:c>
      <x:c r="AE20" s="48" t="n">
        <x:v>9780</x:v>
      </x:c>
      <x:c r="AF20" s="46" t="n">
        <x:v>0.14385964912280702</x:v>
      </x:c>
      <x:c r="AG20" s="48" t="n">
        <x:v>0</x:v>
      </x:c>
      <x:c r="AH20" s="49" t="n">
        <x:v>9.6</x:v>
      </x:c>
      <x:c r="AI20" s="46" t="n">
        <x:v>0.9318038960173726</x:v>
      </x:c>
      <x:c r="AJ20" s="50" t="str">
        <x:v>Compatibilização BIM reduziu interferências críticas.</x:v>
      </x:c>
      <x:c r="AK20" s="45" t="n">
        <x:v>46260</x:v>
      </x:c>
    </x:row>
    <x:row r="21">
      <x:c r="A21" s="39" t="str">
        <x:v>ARQ-020</x:v>
      </x:c>
      <x:c r="B21" s="39" t="str">
        <x:v>Sereno Hotel</x:v>
      </x:c>
      <x:c r="C21" s="39" t="str">
        <x:v>Grupo Serene</x:v>
      </x:c>
      <x:c r="D21" s="39" t="str">
        <x:v>Residencial</x:v>
      </x:c>
      <x:c r="E21" s="39" t="str">
        <x:v>Campinas</x:v>
      </x:c>
      <x:c r="F21" s="39" t="str">
        <x:v>SP</x:v>
      </x:c>
      <x:c r="G21" s="39" t="str">
        <x:v>Caio Martins</x:v>
      </x:c>
      <x:c r="H21" s="39" t="str">
        <x:v>Elisa Moura</x:v>
      </x:c>
      <x:c r="I21" s="39" t="str">
        <x:v>Acompanhamento de obra</x:v>
      </x:c>
      <x:c r="J21" s="39" t="str">
        <x:v>Concluido</x:v>
      </x:c>
      <x:c r="K21" s="39" t="str">
        <x:v>Medio</x:v>
      </x:c>
      <x:c r="L21" s="45" t="n">
        <x:v>45512</x:v>
      </x:c>
      <x:c r="M21" s="39"/>
      <x:c r="N21" s="45" t="n">
        <x:v>46060</x:v>
      </x:c>
      <x:c r="O21" s="45" t="n">
        <x:v>46073</x:v>
      </x:c>
      <x:c r="P21" s="48" t="n">
        <x:v>13</x:v>
      </x:c>
      <x:c r="Q21" s="46" t="n">
        <x:v>1</x:v>
      </x:c>
      <x:c r="R21" s="46" t="n">
        <x:v>1</x:v>
      </x:c>
      <x:c r="S21" s="46" t="n">
        <x:v>0</x:v>
      </x:c>
      <x:c r="T21" s="47" t="n">
        <x:v>1130000</x:v>
      </x:c>
      <x:c r="U21" s="47" t="n">
        <x:v>1196000</x:v>
      </x:c>
      <x:c r="V21" s="47" t="n">
        <x:v>1130000</x:v>
      </x:c>
      <x:c r="W21" s="47" t="n">
        <x:v>1094000</x:v>
      </x:c>
      <x:c r="X21" s="47" t="n">
        <x:v>0</x:v>
      </x:c>
      <x:c r="Y21" s="47" t="n">
        <x:v>762000</x:v>
      </x:c>
      <x:c r="Z21" s="47" t="n">
        <x:v>810000</x:v>
      </x:c>
      <x:c r="AA21" s="47" t="n">
        <x:v>810000</x:v>
      </x:c>
      <x:c r="AB21" s="46" t="n">
        <x:v>0.2831858407079646</x:v>
      </x:c>
      <x:c r="AC21" s="46" t="n">
        <x:v>0.32274247491638797</x:v>
      </x:c>
      <x:c r="AD21" s="48" t="n">
        <x:v>6100</x:v>
      </x:c>
      <x:c r="AE21" s="48" t="n">
        <x:v>6200</x:v>
      </x:c>
      <x:c r="AF21" s="46" t="n">
        <x:v>0.016393442622950838</x:v>
      </x:c>
      <x:c r="AG21" s="48" t="n">
        <x:v>2</x:v>
      </x:c>
      <x:c r="AH21" s="49" t="n">
        <x:v>9.2</x:v>
      </x:c>
      <x:c r="AI21" s="46" t="n">
        <x:v>0.894329009419307</x:v>
      </x:c>
      <x:c r="AJ21" s="50" t="str">
        <x:v>Margem pressionada por horas adicionais não faturadas.</x:v>
      </x:c>
      <x:c r="AK21" s="45" t="n">
        <x:v>46260</x:v>
      </x:c>
    </x:row>
    <x:row r="22">
      <x:c r="A22" s="39" t="str">
        <x:v>ARQ-021</x:v>
      </x:c>
      <x:c r="B22" s="39" t="str">
        <x:v>Terracota Park</x:v>
      </x:c>
      <x:c r="C22" s="39" t="str">
        <x:v>Nexo Empreendimentos</x:v>
      </x:c>
      <x:c r="D22" s="39" t="str">
        <x:v>Hospitalar</x:v>
      </x:c>
      <x:c r="E22" s="39" t="str">
        <x:v>Campinas</x:v>
      </x:c>
      <x:c r="F22" s="39" t="str">
        <x:v>SP</x:v>
      </x:c>
      <x:c r="G22" s="39" t="str">
        <x:v>Caio Martins</x:v>
      </x:c>
      <x:c r="H22" s="39" t="str">
        <x:v>João Brito</x:v>
      </x:c>
      <x:c r="I22" s="39" t="str">
        <x:v>Acompanhamento de obra</x:v>
      </x:c>
      <x:c r="J22" s="39" t="str">
        <x:v>Concluido</x:v>
      </x:c>
      <x:c r="K22" s="39" t="str">
        <x:v>Medio</x:v>
      </x:c>
      <x:c r="L22" s="45" t="n">
        <x:v>45536</x:v>
      </x:c>
      <x:c r="M22" s="39"/>
      <x:c r="N22" s="45" t="n">
        <x:v>45810</x:v>
      </x:c>
      <x:c r="O22" s="45" t="n">
        <x:v>45819</x:v>
      </x:c>
      <x:c r="P22" s="48" t="n">
        <x:v>9</x:v>
      </x:c>
      <x:c r="Q22" s="46" t="n">
        <x:v>1</x:v>
      </x:c>
      <x:c r="R22" s="46" t="n">
        <x:v>1</x:v>
      </x:c>
      <x:c r="S22" s="46" t="n">
        <x:v>0</x:v>
      </x:c>
      <x:c r="T22" s="47" t="n">
        <x:v>2355000</x:v>
      </x:c>
      <x:c r="U22" s="47" t="n">
        <x:v>2238000</x:v>
      </x:c>
      <x:c r="V22" s="47" t="n">
        <x:v>2277000</x:v>
      </x:c>
      <x:c r="W22" s="47" t="n">
        <x:v>2122000</x:v>
      </x:c>
      <x:c r="X22" s="47" t="n">
        <x:v>117000</x:v>
      </x:c>
      <x:c r="Y22" s="47" t="n">
        <x:v>1567000</x:v>
      </x:c>
      <x:c r="Z22" s="47" t="n">
        <x:v>1764000</x:v>
      </x:c>
      <x:c r="AA22" s="47" t="n">
        <x:v>1764000</x:v>
      </x:c>
      <x:c r="AB22" s="46" t="n">
        <x:v>0.25095541401273885</x:v>
      </x:c>
      <x:c r="AC22" s="46" t="n">
        <x:v>0.21179624664879357</x:v>
      </x:c>
      <x:c r="AD22" s="48" t="n">
        <x:v>24750</x:v>
      </x:c>
      <x:c r="AE22" s="48" t="n">
        <x:v>24660</x:v>
      </x:c>
      <x:c r="AF22" s="46" t="n">
        <x:v>-0.0036363636363636598</x:v>
      </x:c>
      <x:c r="AG22" s="48" t="n">
        <x:v>0</x:v>
      </x:c>
      <x:c r="AH22" s="49" t="n">
        <x:v>9.1</x:v>
      </x:c>
      <x:c r="AI22" s="46" t="n">
        <x:v>0.9185016204603016</x:v>
      </x:c>
      <x:c r="AJ22" s="50" t="str">
        <x:v>Sem ocorrências relevantes no período.</x:v>
      </x:c>
      <x:c r="AK22" s="45" t="n">
        <x:v>46245</x:v>
      </x:c>
    </x:row>
    <x:row r="23">
      <x:c r="A23" s="39" t="str">
        <x:v>ARQ-022</x:v>
      </x:c>
      <x:c r="B23" s="39" t="str">
        <x:v>Mosaico Hotel</x:v>
      </x:c>
      <x:c r="C23" s="39" t="str">
        <x:v>Construtora Horizonte</x:v>
      </x:c>
      <x:c r="D23" s="39" t="str">
        <x:v>Corporativo</x:v>
      </x:c>
      <x:c r="E23" s="39" t="str">
        <x:v>Salvador</x:v>
      </x:c>
      <x:c r="F23" s="39" t="str">
        <x:v>BA</x:v>
      </x:c>
      <x:c r="G23" s="39" t="str">
        <x:v>Marina Costa</x:v>
      </x:c>
      <x:c r="H23" s="39" t="str">
        <x:v>João Brito</x:v>
      </x:c>
      <x:c r="I23" s="39" t="str">
        <x:v>Acompanhamento de obra</x:v>
      </x:c>
      <x:c r="J23" s="39" t="str">
        <x:v>Em andamento</x:v>
      </x:c>
      <x:c r="K23" s="39" t="str">
        <x:v>Alto</x:v>
      </x:c>
      <x:c r="L23" s="45" t="n">
        <x:v>45837</x:v>
      </x:c>
      <x:c r="M23" s="39"/>
      <x:c r="N23" s="45" t="n">
        <x:v>46202</x:v>
      </x:c>
      <x:c r="O23" s="45" t="n">
        <x:v>46308</x:v>
      </x:c>
      <x:c r="P23" s="48" t="n">
        <x:v>106</x:v>
      </x:c>
      <x:c r="Q23" s="46" t="n">
        <x:v>1</x:v>
      </x:c>
      <x:c r="R23" s="46" t="n">
        <x:v>0.97</x:v>
      </x:c>
      <x:c r="S23" s="46" t="n">
        <x:v>-0.030000000000000027</x:v>
      </x:c>
      <x:c r="T23" s="47" t="n">
        <x:v>1755000</x:v>
      </x:c>
      <x:c r="U23" s="47" t="n">
        <x:v>1616000</x:v>
      </x:c>
      <x:c r="V23" s="47" t="n">
        <x:v>1635000</x:v>
      </x:c>
      <x:c r="W23" s="47" t="n">
        <x:v>1549000</x:v>
      </x:c>
      <x:c r="X23" s="47" t="n">
        <x:v>139000</x:v>
      </x:c>
      <x:c r="Y23" s="47" t="n">
        <x:v>1109000</x:v>
      </x:c>
      <x:c r="Z23" s="47" t="n">
        <x:v>1201000</x:v>
      </x:c>
      <x:c r="AA23" s="47" t="n">
        <x:v>1201000</x:v>
      </x:c>
      <x:c r="AB23" s="46" t="n">
        <x:v>0.3156695156695157</x:v>
      </x:c>
      <x:c r="AC23" s="46" t="n">
        <x:v>0.2568069306930693</x:v>
      </x:c>
      <x:c r="AD23" s="48" t="n">
        <x:v>8600</x:v>
      </x:c>
      <x:c r="AE23" s="48" t="n">
        <x:v>8800</x:v>
      </x:c>
      <x:c r="AF23" s="46" t="n">
        <x:v>0.05325581395348844</x:v>
      </x:c>
      <x:c r="AG23" s="48" t="n">
        <x:v>0</x:v>
      </x:c>
      <x:c r="AH23" s="49" t="n">
        <x:v>9.7</x:v>
      </x:c>
      <x:c r="AI23" s="46" t="n">
        <x:v>0.95</x:v>
      </x:c>
      <x:c r="AJ23" s="50" t="str">
        <x:v>Cliente avaliando ampliação de escopo.</x:v>
      </x:c>
      <x:c r="AK23" s="45" t="n">
        <x:v>46256</x:v>
      </x:c>
    </x:row>
    <x:row r="24">
      <x:c r="A24" s="39" t="str">
        <x:v>ARQ-023</x:v>
      </x:c>
      <x:c r="B24" s="39" t="str">
        <x:v>Mosaico Center</x:v>
      </x:c>
      <x:c r="C24" s="39" t="str">
        <x:v>Nexo Empreendimentos</x:v>
      </x:c>
      <x:c r="D24" s="39" t="str">
        <x:v>Residencial</x:v>
      </x:c>
      <x:c r="E24" s="39" t="str">
        <x:v>Eusébio</x:v>
      </x:c>
      <x:c r="F24" s="39" t="str">
        <x:v>CE</x:v>
      </x:c>
      <x:c r="G24" s="39" t="str">
        <x:v>Helena Prado</x:v>
      </x:c>
      <x:c r="H24" s="39" t="str">
        <x:v>Elisa Moura</x:v>
      </x:c>
      <x:c r="I24" s="39" t="str">
        <x:v>Acompanhamento de obra</x:v>
      </x:c>
      <x:c r="J24" s="39" t="str">
        <x:v>Em espera</x:v>
      </x:c>
      <x:c r="K24" s="39" t="str">
        <x:v>Medio</x:v>
      </x:c>
      <x:c r="L24" s="45" t="n">
        <x:v>45399</x:v>
      </x:c>
      <x:c r="M24" s="39"/>
      <x:c r="N24" s="45" t="n">
        <x:v>45764</x:v>
      </x:c>
      <x:c r="O24" s="45" t="n">
        <x:v>45861</x:v>
      </x:c>
      <x:c r="P24" s="48" t="n">
        <x:v>97</x:v>
      </x:c>
      <x:c r="Q24" s="46" t="n">
        <x:v>1</x:v>
      </x:c>
      <x:c r="R24" s="46" t="n">
        <x:v>0.97</x:v>
      </x:c>
      <x:c r="S24" s="46" t="n">
        <x:v>-0.030000000000000027</x:v>
      </x:c>
      <x:c r="T24" s="47" t="n">
        <x:v>1830000</x:v>
      </x:c>
      <x:c r="U24" s="47" t="n">
        <x:v>1644000</x:v>
      </x:c>
      <x:c r="V24" s="47" t="n">
        <x:v>1635000</x:v>
      </x:c>
      <x:c r="W24" s="47" t="n">
        <x:v>1370000</x:v>
      </x:c>
      <x:c r="X24" s="47" t="n">
        <x:v>186000</x:v>
      </x:c>
      <x:c r="Y24" s="47" t="n">
        <x:v>1069000</x:v>
      </x:c>
      <x:c r="Z24" s="47" t="n">
        <x:v>1068000</x:v>
      </x:c>
      <x:c r="AA24" s="47" t="n">
        <x:v>1068000</x:v>
      </x:c>
      <x:c r="AB24" s="46" t="n">
        <x:v>0.4163934426229508</x:v>
      </x:c>
      <x:c r="AC24" s="46" t="n">
        <x:v>0.35036496350364965</x:v>
      </x:c>
      <x:c r="AD24" s="48" t="n">
        <x:v>13850</x:v>
      </x:c>
      <x:c r="AE24" s="48" t="n">
        <x:v>12260</x:v>
      </x:c>
      <x:c r="AF24" s="46" t="n">
        <x:v>-0.08480144404332124</x:v>
      </x:c>
      <x:c r="AG24" s="48" t="n">
        <x:v>0</x:v>
      </x:c>
      <x:c r="AH24" s="49" t="n">
        <x:v>7.7</x:v>
      </x:c>
      <x:c r="AI24" s="46" t="n">
        <x:v>0.6848915598355234</x:v>
      </x:c>
      <x:c r="AJ24" s="50" t="str">
        <x:v>Aprovação municipal é o principal ponto de atenção.</x:v>
      </x:c>
      <x:c r="AK24" s="45" t="n">
        <x:v>46254</x:v>
      </x:c>
    </x:row>
    <x:row r="25">
      <x:c r="A25" s="39" t="str">
        <x:v>ARQ-024</x:v>
      </x:c>
      <x:c r="B25" s="39" t="str">
        <x:v>Sereno Living</x:v>
      </x:c>
      <x:c r="C25" s="39" t="str">
        <x:v>Grupo Serene</x:v>
      </x:c>
      <x:c r="D25" s="39" t="str">
        <x:v>Hospitalar</x:v>
      </x:c>
      <x:c r="E25" s="39" t="str">
        <x:v>Brasília</x:v>
      </x:c>
      <x:c r="F25" s="39" t="str">
        <x:v>DF</x:v>
      </x:c>
      <x:c r="G25" s="39" t="str">
        <x:v>Helena Prado</x:v>
      </x:c>
      <x:c r="H25" s="39" t="str">
        <x:v>João Brito</x:v>
      </x:c>
      <x:c r="I25" s="39" t="str">
        <x:v>Estudo preliminar</x:v>
      </x:c>
      <x:c r="J25" s="39" t="str">
        <x:v>Em andamento</x:v>
      </x:c>
      <x:c r="K25" s="39" t="str">
        <x:v>Medio</x:v>
      </x:c>
      <x:c r="L25" s="45" t="n">
        <x:v>46132</x:v>
      </x:c>
      <x:c r="M25" s="39"/>
      <x:c r="N25" s="45" t="n">
        <x:v>46680</x:v>
      </x:c>
      <x:c r="O25" s="45" t="n">
        <x:v>46739</x:v>
      </x:c>
      <x:c r="P25" s="48" t="n">
        <x:v>59</x:v>
      </x:c>
      <x:c r="Q25" s="46" t="n">
        <x:v>0.2427007299270073</x:v>
      </x:c>
      <x:c r="R25" s="46" t="n">
        <x:v>0.12253772787792255</x:v>
      </x:c>
      <x:c r="S25" s="46" t="n">
        <x:v>-0.12016300204908476</x:v>
      </x:c>
      <x:c r="T25" s="47" t="n">
        <x:v>3660000</x:v>
      </x:c>
      <x:c r="U25" s="47" t="n">
        <x:v>398000</x:v>
      </x:c>
      <x:c r="V25" s="47" t="n">
        <x:v>412000</x:v>
      </x:c>
      <x:c r="W25" s="47" t="n">
        <x:v>358000</x:v>
      </x:c>
      <x:c r="X25" s="47" t="n">
        <x:v>3262000</x:v>
      </x:c>
      <x:c r="Y25" s="47" t="n">
        <x:v>2368000</x:v>
      </x:c>
      <x:c r="Z25" s="47" t="n">
        <x:v>300000</x:v>
      </x:c>
      <x:c r="AA25" s="47" t="n">
        <x:v>2263000</x:v>
      </x:c>
      <x:c r="AB25" s="46" t="n">
        <x:v>0.38169398907103824</x:v>
      </x:c>
      <x:c r="AC25" s="46" t="n">
        <x:v>0.24623115577889448</x:v>
      </x:c>
      <x:c r="AD25" s="48" t="n">
        <x:v>19050</x:v>
      </x:c>
      <x:c r="AE25" s="48" t="n">
        <x:v>2240</x:v>
      </x:c>
      <x:c r="AF25" s="46" t="n">
        <x:v>-0.004952426040652214</x:v>
      </x:c>
      <x:c r="AG25" s="48" t="n">
        <x:v>3</x:v>
      </x:c>
      <x:c r="AH25" s="49" t="n">
        <x:v>9</x:v>
      </x:c>
      <x:c r="AI25" s="46" t="n">
        <x:v>0.8215696210507304</x:v>
      </x:c>
      <x:c r="AJ25" s="50" t="str">
        <x:v>Cliente avaliando ampliação de escopo.</x:v>
      </x:c>
      <x:c r="AK25" s="45" t="n">
        <x:v>46249</x:v>
      </x:c>
    </x:row>
    <x:row r="26">
      <x:c r="A26" s="39" t="str">
        <x:v>ARQ-025</x:v>
      </x:c>
      <x:c r="B26" s="39" t="str">
        <x:v>Prisma Living</x:v>
      </x:c>
      <x:c r="C26" s="39" t="str">
        <x:v>Instituto Veredas</x:v>
      </x:c>
      <x:c r="D26" s="39" t="str">
        <x:v>Varejo</x:v>
      </x:c>
      <x:c r="E26" s="39" t="str">
        <x:v>João Pessoa</x:v>
      </x:c>
      <x:c r="F26" s="39" t="str">
        <x:v>PB</x:v>
      </x:c>
      <x:c r="G26" s="39" t="str">
        <x:v>Helena Prado</x:v>
      </x:c>
      <x:c r="H26" s="39" t="str">
        <x:v>Felipe Andrade</x:v>
      </x:c>
      <x:c r="I26" s="39" t="str">
        <x:v>Acompanhamento de obra</x:v>
      </x:c>
      <x:c r="J26" s="39" t="str">
        <x:v>Em andamento</x:v>
      </x:c>
      <x:c r="K26" s="39" t="str">
        <x:v>Medio</x:v>
      </x:c>
      <x:c r="L26" s="45" t="n">
        <x:v>45620</x:v>
      </x:c>
      <x:c r="M26" s="39"/>
      <x:c r="N26" s="45" t="n">
        <x:v>46351</x:v>
      </x:c>
      <x:c r="O26" s="45" t="n">
        <x:v>46366</x:v>
      </x:c>
      <x:c r="P26" s="48" t="n">
        <x:v>15</x:v>
      </x:c>
      <x:c r="Q26" s="46" t="n">
        <x:v>0.8823529411764706</x:v>
      </x:c>
      <x:c r="R26" s="46" t="n">
        <x:v>0.9189797125622521</x:v>
      </x:c>
      <x:c r="S26" s="46" t="n">
        <x:v>0.03662677138578152</x:v>
      </x:c>
      <x:c r="T26" s="47" t="n">
        <x:v>1620000</x:v>
      </x:c>
      <x:c r="U26" s="47" t="n">
        <x:v>1357000</x:v>
      </x:c>
      <x:c r="V26" s="47" t="n">
        <x:v>1449000</x:v>
      </x:c>
      <x:c r="W26" s="47" t="n">
        <x:v>1308000</x:v>
      </x:c>
      <x:c r="X26" s="47" t="n">
        <x:v>263000</x:v>
      </x:c>
      <x:c r="Y26" s="47" t="n">
        <x:v>977000</x:v>
      </x:c>
      <x:c r="Z26" s="47" t="n">
        <x:v>853000</x:v>
      </x:c>
      <x:c r="AA26" s="47" t="n">
        <x:v>1067000</x:v>
      </x:c>
      <x:c r="AB26" s="46" t="n">
        <x:v>0.341358024691358</x:v>
      </x:c>
      <x:c r="AC26" s="46" t="n">
        <x:v>0.3714075165806927</x:v>
      </x:c>
      <x:c r="AD26" s="48" t="n">
        <x:v>10350</x:v>
      </x:c>
      <x:c r="AE26" s="48" t="n">
        <x:v>9400</x:v>
      </x:c>
      <x:c r="AF26" s="46" t="n">
        <x:v>-0.010767152175778616</x:v>
      </x:c>
      <x:c r="AG26" s="48" t="n">
        <x:v>1</x:v>
      </x:c>
      <x:c r="AH26" s="49" t="n">
        <x:v>9.4</x:v>
      </x:c>
      <x:c r="AI26" s="46" t="n">
        <x:v>0.9448816317366437</x:v>
      </x:c>
      <x:c r="AJ26" s="50" t="str">
        <x:v>Cronograma depende da contratação de consultoria especializada.</x:v>
      </x:c>
      <x:c r="AK26" s="45" t="n">
        <x:v>46260</x:v>
      </x:c>
    </x:row>
    <x:row r="27">
      <x:c r="A27" s="39" t="str">
        <x:v>ARQ-026</x:v>
      </x:c>
      <x:c r="B27" s="39" t="str">
        <x:v>Boreal Residence</x:v>
      </x:c>
      <x:c r="C27" s="39" t="str">
        <x:v>Grupo Atlântica</x:v>
      </x:c>
      <x:c r="D27" s="39" t="str">
        <x:v>Residencial</x:v>
      </x:c>
      <x:c r="E27" s="39" t="str">
        <x:v>Salvador</x:v>
      </x:c>
      <x:c r="F27" s="39" t="str">
        <x:v>BA</x:v>
      </x:c>
      <x:c r="G27" s="39" t="str">
        <x:v>Helena Prado</x:v>
      </x:c>
      <x:c r="H27" s="39" t="str">
        <x:v>Felipe Andrade</x:v>
      </x:c>
      <x:c r="I27" s="39" t="str">
        <x:v>Acompanhamento de obra</x:v>
      </x:c>
      <x:c r="J27" s="39" t="str">
        <x:v>Concluido</x:v>
      </x:c>
      <x:c r="K27" s="39" t="str">
        <x:v>Alto</x:v>
      </x:c>
      <x:c r="L27" s="45" t="n">
        <x:v>45455</x:v>
      </x:c>
      <x:c r="M27" s="39"/>
      <x:c r="N27" s="45" t="n">
        <x:v>45972</x:v>
      </x:c>
      <x:c r="O27" s="45" t="n">
        <x:v>46005</x:v>
      </x:c>
      <x:c r="P27" s="48" t="n">
        <x:v>33</x:v>
      </x:c>
      <x:c r="Q27" s="46" t="n">
        <x:v>1</x:v>
      </x:c>
      <x:c r="R27" s="46" t="n">
        <x:v>1</x:v>
      </x:c>
      <x:c r="S27" s="46" t="n">
        <x:v>0</x:v>
      </x:c>
      <x:c r="T27" s="47" t="n">
        <x:v>905000</x:v>
      </x:c>
      <x:c r="U27" s="47" t="n">
        <x:v>875000</x:v>
      </x:c>
      <x:c r="V27" s="47" t="n">
        <x:v>860000</x:v>
      </x:c>
      <x:c r="W27" s="47" t="n">
        <x:v>828000</x:v>
      </x:c>
      <x:c r="X27" s="47" t="n">
        <x:v>30000</x:v>
      </x:c>
      <x:c r="Y27" s="47" t="n">
        <x:v>583000</x:v>
      </x:c>
      <x:c r="Z27" s="47" t="n">
        <x:v>680000</x:v>
      </x:c>
      <x:c r="AA27" s="47" t="n">
        <x:v>680000</x:v>
      </x:c>
      <x:c r="AB27" s="46" t="n">
        <x:v>0.24861878453038674</x:v>
      </x:c>
      <x:c r="AC27" s="46" t="n">
        <x:v>0.22285714285714286</x:v>
      </x:c>
      <x:c r="AD27" s="48" t="n">
        <x:v>6750</x:v>
      </x:c>
      <x:c r="AE27" s="48" t="n">
        <x:v>6210</x:v>
      </x:c>
      <x:c r="AF27" s="46" t="n">
        <x:v>-0.07999999999999996</x:v>
      </x:c>
      <x:c r="AG27" s="48" t="n">
        <x:v>6</x:v>
      </x:c>
      <x:c r="AH27" s="49" t="n">
        <x:v>8.3</x:v>
      </x:c>
      <x:c r="AI27" s="46" t="n">
        <x:v>0.7968691097898409</x:v>
      </x:c>
      <x:c r="AJ27" s="50" t="str">
        <x:v>Projeto com potencial de expansão para nova unidade.</x:v>
      </x:c>
      <x:c r="AK27" s="45" t="n">
        <x:v>46252</x:v>
      </x:c>
    </x:row>
    <x:row r="28">
      <x:c r="A28" s="39" t="str">
        <x:v>ARQ-027</x:v>
      </x:c>
      <x:c r="B28" s="39" t="str">
        <x:v>Prisma Residence</x:v>
      </x:c>
      <x:c r="C28" s="39" t="str">
        <x:v>Nexo Empreendimentos</x:v>
      </x:c>
      <x:c r="D28" s="39" t="str">
        <x:v>Educacional</x:v>
      </x:c>
      <x:c r="E28" s="39" t="str">
        <x:v>Fortaleza</x:v>
      </x:c>
      <x:c r="F28" s="39" t="str">
        <x:v>CE</x:v>
      </x:c>
      <x:c r="G28" s="39" t="str">
        <x:v>Helena Prado</x:v>
      </x:c>
      <x:c r="H28" s="39" t="str">
        <x:v>Gabriela Lopes</x:v>
      </x:c>
      <x:c r="I28" s="39" t="str">
        <x:v>Estudo preliminar</x:v>
      </x:c>
      <x:c r="J28" s="39" t="str">
        <x:v>Em andamento</x:v>
      </x:c>
      <x:c r="K28" s="39" t="str">
        <x:v>Medio</x:v>
      </x:c>
      <x:c r="L28" s="45" t="n">
        <x:v>46141</x:v>
      </x:c>
      <x:c r="M28" s="39"/>
      <x:c r="N28" s="45" t="n">
        <x:v>46750</x:v>
      </x:c>
      <x:c r="O28" s="45" t="n">
        <x:v>46764</x:v>
      </x:c>
      <x:c r="P28" s="48" t="n">
        <x:v>14</x:v>
      </x:c>
      <x:c r="Q28" s="46" t="n">
        <x:v>0.20361247947454844</x:v>
      </x:c>
      <x:c r="R28" s="46" t="n">
        <x:v>0.06293119086433593</x:v>
      </x:c>
      <x:c r="S28" s="46" t="n">
        <x:v>-0.1406812886102125</x:v>
      </x:c>
      <x:c r="T28" s="47" t="n">
        <x:v>740000</x:v>
      </x:c>
      <x:c r="U28" s="47" t="n">
        <x:v>47000</x:v>
      </x:c>
      <x:c r="V28" s="47" t="n">
        <x:v>43000</x:v>
      </x:c>
      <x:c r="W28" s="47" t="n">
        <x:v>40000</x:v>
      </x:c>
      <x:c r="X28" s="47" t="n">
        <x:v>693000</x:v>
      </x:c>
      <x:c r="Y28" s="47" t="n">
        <x:v>420000</x:v>
      </x:c>
      <x:c r="Z28" s="47" t="n">
        <x:v>31000</x:v>
      </x:c>
      <x:c r="AA28" s="47" t="n">
        <x:v>453000</x:v>
      </x:c>
      <x:c r="AB28" s="46" t="n">
        <x:v>0.3878378378378378</x:v>
      </x:c>
      <x:c r="AC28" s="46" t="n">
        <x:v>0.3404255319148936</x:v>
      </x:c>
      <x:c r="AD28" s="48" t="n">
        <x:v>12300</x:v>
      </x:c>
      <x:c r="AE28" s="48" t="n">
        <x:v>760</x:v>
      </x:c>
      <x:c r="AF28" s="46" t="n">
        <x:v>-0.0011425729781570707</x:v>
      </x:c>
      <x:c r="AG28" s="48" t="n">
        <x:v>1</x:v>
      </x:c>
      <x:c r="AH28" s="49" t="n">
        <x:v>9.2</x:v>
      </x:c>
      <x:c r="AI28" s="46" t="n">
        <x:v>0.827290115118958</x:v>
      </x:c>
      <x:c r="AJ28" s="50" t="str">
        <x:v>Projeto com potencial de expansão para nova unidade.</x:v>
      </x:c>
      <x:c r="AK28" s="45" t="n">
        <x:v>46252</x:v>
      </x:c>
    </x:row>
    <x:row r="29">
      <x:c r="A29" s="39" t="str">
        <x:v>ARQ-028</x:v>
      </x:c>
      <x:c r="B29" s="39" t="str">
        <x:v>Vértice Complex</x:v>
      </x:c>
      <x:c r="C29" s="39" t="str">
        <x:v>Cais Urbanismo</x:v>
      </x:c>
      <x:c r="D29" s="39" t="str">
        <x:v>Hotelaria</x:v>
      </x:c>
      <x:c r="E29" s="39" t="str">
        <x:v>Belo Horizonte</x:v>
      </x:c>
      <x:c r="F29" s="39" t="str">
        <x:v>MG</x:v>
      </x:c>
      <x:c r="G29" s="39" t="str">
        <x:v>Helena Prado</x:v>
      </x:c>
      <x:c r="H29" s="39" t="str">
        <x:v>Felipe Andrade</x:v>
      </x:c>
      <x:c r="I29" s="39" t="str">
        <x:v>Projeto legal</x:v>
      </x:c>
      <x:c r="J29" s="39" t="str">
        <x:v>Em andamento</x:v>
      </x:c>
      <x:c r="K29" s="39" t="str">
        <x:v>Alto</x:v>
      </x:c>
      <x:c r="L29" s="45" t="n">
        <x:v>46052</x:v>
      </x:c>
      <x:c r="M29" s="39"/>
      <x:c r="N29" s="45" t="n">
        <x:v>46600</x:v>
      </x:c>
      <x:c r="O29" s="45" t="n">
        <x:v>46713</x:v>
      </x:c>
      <x:c r="P29" s="48" t="n">
        <x:v>113</x:v>
      </x:c>
      <x:c r="Q29" s="46" t="n">
        <x:v>0.3886861313868613</x:v>
      </x:c>
      <x:c r="R29" s="46" t="n">
        <x:v>0.35955790790620457</x:v>
      </x:c>
      <x:c r="S29" s="46" t="n">
        <x:v>-0.029128223480656745</x:v>
      </x:c>
      <x:c r="T29" s="47" t="n">
        <x:v>2230000</x:v>
      </x:c>
      <x:c r="U29" s="47" t="n">
        <x:v>758000</x:v>
      </x:c>
      <x:c r="V29" s="47" t="n">
        <x:v>793000</x:v>
      </x:c>
      <x:c r="W29" s="47" t="n">
        <x:v>762000</x:v>
      </x:c>
      <x:c r="X29" s="47" t="n">
        <x:v>1472000</x:v>
      </x:c>
      <x:c r="Y29" s="47" t="n">
        <x:v>1457000</x:v>
      </x:c>
      <x:c r="Z29" s="47" t="n">
        <x:v>563000</x:v>
      </x:c>
      <x:c r="AA29" s="47" t="n">
        <x:v>1452000</x:v>
      </x:c>
      <x:c r="AB29" s="46" t="n">
        <x:v>0.3488789237668161</x:v>
      </x:c>
      <x:c r="AC29" s="46" t="n">
        <x:v>0.25725593667546176</x:v>
      </x:c>
      <x:c r="AD29" s="48" t="n">
        <x:v>11100</x:v>
      </x:c>
      <x:c r="AE29" s="48" t="n">
        <x:v>4070</x:v>
      </x:c>
      <x:c r="AF29" s="46" t="n">
        <x:v>0.007108758760462075</x:v>
      </x:c>
      <x:c r="AG29" s="48" t="n">
        <x:v>5</x:v>
      </x:c>
      <x:c r="AH29" s="49" t="n">
        <x:v>8.8</x:v>
      </x:c>
      <x:c r="AI29" s="46" t="n">
        <x:v>0.794780926234089</x:v>
      </x:c>
      <x:c r="AJ29" s="50" t="str">
        <x:v>Sem ocorrências relevantes no período.</x:v>
      </x:c>
      <x:c r="AK29" s="45" t="n">
        <x:v>46257</x:v>
      </x:c>
    </x:row>
    <x:row r="30">
      <x:c r="A30" s="39" t="str">
        <x:v>ARQ-029</x:v>
      </x:c>
      <x:c r="B30" s="39" t="str">
        <x:v>Jardins Residence</x:v>
      </x:c>
      <x:c r="C30" s="39" t="str">
        <x:v>Rede Pátio</x:v>
      </x:c>
      <x:c r="D30" s="39" t="str">
        <x:v>Educacional</x:v>
      </x:c>
      <x:c r="E30" s="39" t="str">
        <x:v>João Pessoa</x:v>
      </x:c>
      <x:c r="F30" s="39" t="str">
        <x:v>PB</x:v>
      </x:c>
      <x:c r="G30" s="39" t="str">
        <x:v>Marina Costa</x:v>
      </x:c>
      <x:c r="H30" s="39" t="str">
        <x:v>Elisa Moura</x:v>
      </x:c>
      <x:c r="I30" s="39" t="str">
        <x:v>Acompanhamento de obra</x:v>
      </x:c>
      <x:c r="J30" s="39" t="str">
        <x:v>Concluido</x:v>
      </x:c>
      <x:c r="K30" s="39" t="str">
        <x:v>Medio</x:v>
      </x:c>
      <x:c r="L30" s="45" t="n">
        <x:v>45383</x:v>
      </x:c>
      <x:c r="M30" s="39"/>
      <x:c r="N30" s="45" t="n">
        <x:v>45809</x:v>
      </x:c>
      <x:c r="O30" s="45" t="n">
        <x:v>45857</x:v>
      </x:c>
      <x:c r="P30" s="48" t="n">
        <x:v>48</x:v>
      </x:c>
      <x:c r="Q30" s="46" t="n">
        <x:v>1</x:v>
      </x:c>
      <x:c r="R30" s="46" t="n">
        <x:v>1</x:v>
      </x:c>
      <x:c r="S30" s="46" t="n">
        <x:v>0</x:v>
      </x:c>
      <x:c r="T30" s="47" t="n">
        <x:v>695000</x:v>
      </x:c>
      <x:c r="U30" s="47" t="n">
        <x:v>639000</x:v>
      </x:c>
      <x:c r="V30" s="47" t="n">
        <x:v>590000</x:v>
      </x:c>
      <x:c r="W30" s="47" t="n">
        <x:v>483000</x:v>
      </x:c>
      <x:c r="X30" s="47" t="n">
        <x:v>56000</x:v>
      </x:c>
      <x:c r="Y30" s="47" t="n">
        <x:v>395000</x:v>
      </x:c>
      <x:c r="Z30" s="47" t="n">
        <x:v>382000</x:v>
      </x:c>
      <x:c r="AA30" s="47" t="n">
        <x:v>382000</x:v>
      </x:c>
      <x:c r="AB30" s="46" t="n">
        <x:v>0.4503597122302158</x:v>
      </x:c>
      <x:c r="AC30" s="46" t="n">
        <x:v>0.40219092331768386</x:v>
      </x:c>
      <x:c r="AD30" s="48" t="n">
        <x:v>4500</x:v>
      </x:c>
      <x:c r="AE30" s="48" t="n">
        <x:v>4640</x:v>
      </x:c>
      <x:c r="AF30" s="46" t="n">
        <x:v>0.03111111111111109</x:v>
      </x:c>
      <x:c r="AG30" s="48" t="n">
        <x:v>1</x:v>
      </x:c>
      <x:c r="AH30" s="49" t="n">
        <x:v>7.9</x:v>
      </x:c>
      <x:c r="AI30" s="46" t="n">
        <x:v>0.6936000321479514</x:v>
      </x:c>
      <x:c r="AJ30" s="50" t="str">
        <x:v>Equipe reforçada para recuperar o cronograma.</x:v>
      </x:c>
      <x:c r="AK30" s="45" t="n">
        <x:v>46252</x:v>
      </x:c>
    </x:row>
    <x:row r="31">
      <x:c r="A31" s="39" t="str">
        <x:v>ARQ-030</x:v>
      </x:c>
      <x:c r="B31" s="39" t="str">
        <x:v>Almeida Plaza</x:v>
      </x:c>
      <x:c r="C31" s="39" t="str">
        <x:v>Grupo Serene</x:v>
      </x:c>
      <x:c r="D31" s="39" t="str">
        <x:v>Varejo</x:v>
      </x:c>
      <x:c r="E31" s="39" t="str">
        <x:v>São Paulo</x:v>
      </x:c>
      <x:c r="F31" s="39" t="str">
        <x:v>SP</x:v>
      </x:c>
      <x:c r="G31" s="39" t="str">
        <x:v>Caio Martins</x:v>
      </x:c>
      <x:c r="H31" s="39" t="str">
        <x:v>Felipe Andrade</x:v>
      </x:c>
      <x:c r="I31" s="39" t="str">
        <x:v>Acompanhamento de obra</x:v>
      </x:c>
      <x:c r="J31" s="39" t="str">
        <x:v>Concluido</x:v>
      </x:c>
      <x:c r="K31" s="39" t="str">
        <x:v>Medio</x:v>
      </x:c>
      <x:c r="L31" s="45" t="n">
        <x:v>45400</x:v>
      </x:c>
      <x:c r="M31" s="39"/>
      <x:c r="N31" s="45" t="n">
        <x:v>46131</x:v>
      </x:c>
      <x:c r="O31" s="45" t="n">
        <x:v>46126</x:v>
      </x:c>
      <x:c r="P31" s="48" t="n">
        <x:v>-5</x:v>
      </x:c>
      <x:c r="Q31" s="46" t="n">
        <x:v>1</x:v>
      </x:c>
      <x:c r="R31" s="46" t="n">
        <x:v>1</x:v>
      </x:c>
      <x:c r="S31" s="46" t="n">
        <x:v>0</x:v>
      </x:c>
      <x:c r="T31" s="47" t="n">
        <x:v>1000000</x:v>
      </x:c>
      <x:c r="U31" s="47" t="n">
        <x:v>886000</x:v>
      </x:c>
      <x:c r="V31" s="47" t="n">
        <x:v>846000</x:v>
      </x:c>
      <x:c r="W31" s="47" t="n">
        <x:v>717000</x:v>
      </x:c>
      <x:c r="X31" s="47" t="n">
        <x:v>114000</x:v>
      </x:c>
      <x:c r="Y31" s="47" t="n">
        <x:v>652000</x:v>
      </x:c>
      <x:c r="Z31" s="47" t="n">
        <x:v>696000</x:v>
      </x:c>
      <x:c r="AA31" s="47" t="n">
        <x:v>696000</x:v>
      </x:c>
      <x:c r="AB31" s="46" t="n">
        <x:v>0.304</x:v>
      </x:c>
      <x:c r="AC31" s="46" t="n">
        <x:v>0.2144469525959368</x:v>
      </x:c>
      <x:c r="AD31" s="48" t="n">
        <x:v>4750</x:v>
      </x:c>
      <x:c r="AE31" s="48" t="n">
        <x:v>5510</x:v>
      </x:c>
      <x:c r="AF31" s="46" t="n">
        <x:v>0.15999999999999992</x:v>
      </x:c>
      <x:c r="AG31" s="48" t="n">
        <x:v>4</x:v>
      </x:c>
      <x:c r="AH31" s="49" t="n">
        <x:v>9.3</x:v>
      </x:c>
      <x:c r="AI31" s="46" t="n">
        <x:v>0.9183616757718847</x:v>
      </x:c>
      <x:c r="AJ31" s="50" t="str">
        <x:v>Entrega parcial aceita pelo cliente.</x:v>
      </x:c>
      <x:c r="AK31" s="45" t="n">
        <x:v>46246</x:v>
      </x:c>
    </x:row>
    <x:row r="32">
      <x:c r="A32" s="39" t="str">
        <x:v>ARQ-031</x:v>
      </x:c>
      <x:c r="B32" s="39" t="str">
        <x:v>Sereno Hub</x:v>
      </x:c>
      <x:c r="C32" s="39" t="str">
        <x:v>Matriz Participações</x:v>
      </x:c>
      <x:c r="D32" s="39" t="str">
        <x:v>Hotelaria</x:v>
      </x:c>
      <x:c r="E32" s="39" t="str">
        <x:v>São Paulo</x:v>
      </x:c>
      <x:c r="F32" s="39" t="str">
        <x:v>SP</x:v>
      </x:c>
      <x:c r="G32" s="39" t="str">
        <x:v>Marina Costa</x:v>
      </x:c>
      <x:c r="H32" s="39" t="str">
        <x:v>Isabela Melo</x:v>
      </x:c>
      <x:c r="I32" s="39" t="str">
        <x:v>Compatibilização</x:v>
      </x:c>
      <x:c r="J32" s="39" t="str">
        <x:v>Em andamento</x:v>
      </x:c>
      <x:c r="K32" s="39" t="str">
        <x:v>Alto</x:v>
      </x:c>
      <x:c r="L32" s="45" t="n">
        <x:v>45523</x:v>
      </x:c>
      <x:c r="M32" s="39"/>
      <x:c r="N32" s="45" t="n">
        <x:v>46132</x:v>
      </x:c>
      <x:c r="O32" s="45" t="n">
        <x:v>46129</x:v>
      </x:c>
      <x:c r="P32" s="48" t="n">
        <x:v>-3</x:v>
      </x:c>
      <x:c r="Q32" s="46" t="n">
        <x:v>1</x:v>
      </x:c>
      <x:c r="R32" s="46" t="n">
        <x:v>0.83296457788907</x:v>
      </x:c>
      <x:c r="S32" s="46" t="n">
        <x:v>-0.16703542211093003</x:v>
      </x:c>
      <x:c r="T32" s="47" t="n">
        <x:v>2430000</x:v>
      </x:c>
      <x:c r="U32" s="47" t="n">
        <x:v>2005000</x:v>
      </x:c>
      <x:c r="V32" s="47" t="n">
        <x:v>1877000</x:v>
      </x:c>
      <x:c r="W32" s="47" t="n">
        <x:v>1824000</x:v>
      </x:c>
      <x:c r="X32" s="47" t="n">
        <x:v>425000</x:v>
      </x:c>
      <x:c r="Y32" s="47" t="n">
        <x:v>1350000</x:v>
      </x:c>
      <x:c r="Z32" s="47" t="n">
        <x:v>1193000</x:v>
      </x:c>
      <x:c r="AA32" s="47" t="n">
        <x:v>1538000</x:v>
      </x:c>
      <x:c r="AB32" s="46" t="n">
        <x:v>0.36707818930041153</x:v>
      </x:c>
      <x:c r="AC32" s="46" t="n">
        <x:v>0.4049875311720698</x:v>
      </x:c>
      <x:c r="AD32" s="48" t="n">
        <x:v>7900</x:v>
      </x:c>
      <x:c r="AE32" s="48" t="n">
        <x:v>6870</x:v>
      </x:c>
      <x:c r="AF32" s="46" t="n">
        <x:v>0.036655675275486965</x:v>
      </x:c>
      <x:c r="AG32" s="48" t="n">
        <x:v>4</x:v>
      </x:c>
      <x:c r="AH32" s="49" t="n">
        <x:v>7.6</x:v>
      </x:c>
      <x:c r="AI32" s="46" t="n">
        <x:v>0.7577872470533475</x:v>
      </x:c>
      <x:c r="AJ32" s="50" t="str">
        <x:v>Compatibilização BIM reduziu interferências críticas.</x:v>
      </x:c>
      <x:c r="AK32" s="45" t="n">
        <x:v>46257</x:v>
      </x:c>
    </x:row>
    <x:row r="33">
      <x:c r="A33" s="39" t="str">
        <x:v>ARQ-032</x:v>
      </x:c>
      <x:c r="B33" s="39" t="str">
        <x:v>Urbano Hub</x:v>
      </x:c>
      <x:c r="C33" s="39" t="str">
        <x:v>Grupo Atlântica</x:v>
      </x:c>
      <x:c r="D33" s="39" t="str">
        <x:v>Corporativo</x:v>
      </x:c>
      <x:c r="E33" s="39" t="str">
        <x:v>Brasília</x:v>
      </x:c>
      <x:c r="F33" s="39" t="str">
        <x:v>DF</x:v>
      </x:c>
      <x:c r="G33" s="39" t="str">
        <x:v>Marina Costa</x:v>
      </x:c>
      <x:c r="H33" s="39" t="str">
        <x:v>Daniel Freitas</x:v>
      </x:c>
      <x:c r="I33" s="39" t="str">
        <x:v>Anteprojeto</x:v>
      </x:c>
      <x:c r="J33" s="39" t="str">
        <x:v>Em andamento</x:v>
      </x:c>
      <x:c r="K33" s="39" t="str">
        <x:v>Medio</x:v>
      </x:c>
      <x:c r="L33" s="45" t="n">
        <x:v>46155</x:v>
      </x:c>
      <x:c r="M33" s="39"/>
      <x:c r="N33" s="45" t="n">
        <x:v>46703</x:v>
      </x:c>
      <x:c r="O33" s="45" t="n">
        <x:v>46728</x:v>
      </x:c>
      <x:c r="P33" s="48" t="n">
        <x:v>25</x:v>
      </x:c>
      <x:c r="Q33" s="46" t="n">
        <x:v>0.20072992700729927</x:v>
      </x:c>
      <x:c r="R33" s="46" t="n">
        <x:v>0.23559748732597044</x:v>
      </x:c>
      <x:c r="S33" s="46" t="n">
        <x:v>0.034867560318671165</x:v>
      </x:c>
      <x:c r="T33" s="47" t="n">
        <x:v>2475000</x:v>
      </x:c>
      <x:c r="U33" s="47" t="n">
        <x:v>600000</x:v>
      </x:c>
      <x:c r="V33" s="47" t="n">
        <x:v>634000</x:v>
      </x:c>
      <x:c r="W33" s="47" t="n">
        <x:v>543000</x:v>
      </x:c>
      <x:c r="X33" s="47" t="n">
        <x:v>1875000</x:v>
      </x:c>
      <x:c r="Y33" s="47" t="n">
        <x:v>1364000</x:v>
      </x:c>
      <x:c r="Z33" s="47" t="n">
        <x:v>350000</x:v>
      </x:c>
      <x:c r="AA33" s="47" t="n">
        <x:v>1456000</x:v>
      </x:c>
      <x:c r="AB33" s="46" t="n">
        <x:v>0.4117171717171717</x:v>
      </x:c>
      <x:c r="AC33" s="46" t="n">
        <x:v>0.4166666666666667</x:v>
      </x:c>
      <x:c r="AD33" s="48" t="n">
        <x:v>7450</x:v>
      </x:c>
      <x:c r="AE33" s="48" t="n">
        <x:v>1900</x:v>
      </x:c>
      <x:c r="AF33" s="46" t="n">
        <x:v>0.019436069721009447</x:v>
      </x:c>
      <x:c r="AG33" s="48" t="n">
        <x:v>6</x:v>
      </x:c>
      <x:c r="AH33" s="49" t="n">
        <x:v>6.9</x:v>
      </x:c>
      <x:c r="AI33" s="46" t="n">
        <x:v>0.6207440472068266</x:v>
      </x:c>
      <x:c r="AJ33" s="50" t="str">
        <x:v>Margem pressionada por horas adicionais não faturadas.</x:v>
      </x:c>
      <x:c r="AK33" s="45" t="n">
        <x:v>46262</x:v>
      </x:c>
    </x:row>
    <x:row r="34">
      <x:c r="A34" s="39" t="str">
        <x:v>ARQ-033</x:v>
      </x:c>
      <x:c r="B34" s="39" t="str">
        <x:v>Horizonte Hotel</x:v>
      </x:c>
      <x:c r="C34" s="39" t="str">
        <x:v>Matriz Participações</x:v>
      </x:c>
      <x:c r="D34" s="39" t="str">
        <x:v>Residencial</x:v>
      </x:c>
      <x:c r="E34" s="39" t="str">
        <x:v>Campinas</x:v>
      </x:c>
      <x:c r="F34" s="39" t="str">
        <x:v>SP</x:v>
      </x:c>
      <x:c r="G34" s="39" t="str">
        <x:v>Marina Costa</x:v>
      </x:c>
      <x:c r="H34" s="39" t="str">
        <x:v>Bianca Rocha</x:v>
      </x:c>
      <x:c r="I34" s="39" t="str">
        <x:v>Acompanhamento de obra</x:v>
      </x:c>
      <x:c r="J34" s="39" t="str">
        <x:v>Concluido</x:v>
      </x:c>
      <x:c r="K34" s="39" t="str">
        <x:v>Alto</x:v>
      </x:c>
      <x:c r="L34" s="45" t="n">
        <x:v>45500</x:v>
      </x:c>
      <x:c r="M34" s="39"/>
      <x:c r="N34" s="45" t="n">
        <x:v>45713</x:v>
      </x:c>
      <x:c r="O34" s="45" t="n">
        <x:v>45710</x:v>
      </x:c>
      <x:c r="P34" s="48" t="n">
        <x:v>-3</x:v>
      </x:c>
      <x:c r="Q34" s="46" t="n">
        <x:v>1</x:v>
      </x:c>
      <x:c r="R34" s="46" t="n">
        <x:v>1</x:v>
      </x:c>
      <x:c r="S34" s="46" t="n">
        <x:v>0</x:v>
      </x:c>
      <x:c r="T34" s="47" t="n">
        <x:v>2070000</x:v>
      </x:c>
      <x:c r="U34" s="47" t="n">
        <x:v>1867000</x:v>
      </x:c>
      <x:c r="V34" s="47" t="n">
        <x:v>1797000</x:v>
      </x:c>
      <x:c r="W34" s="47" t="n">
        <x:v>1556000</x:v>
      </x:c>
      <x:c r="X34" s="47" t="n">
        <x:v>203000</x:v>
      </x:c>
      <x:c r="Y34" s="47" t="n">
        <x:v>1346000</x:v>
      </x:c>
      <x:c r="Z34" s="47" t="n">
        <x:v>1546000</x:v>
      </x:c>
      <x:c r="AA34" s="47" t="n">
        <x:v>1546000</x:v>
      </x:c>
      <x:c r="AB34" s="46" t="n">
        <x:v>0.2531400966183575</x:v>
      </x:c>
      <x:c r="AC34" s="46" t="n">
        <x:v>0.17193358328869845</x:v>
      </x:c>
      <x:c r="AD34" s="48" t="n">
        <x:v>9150</x:v>
      </x:c>
      <x:c r="AE34" s="48" t="n">
        <x:v>10400</x:v>
      </x:c>
      <x:c r="AF34" s="46" t="n">
        <x:v>0.13661202185792343</x:v>
      </x:c>
      <x:c r="AG34" s="48" t="n">
        <x:v>4</x:v>
      </x:c>
      <x:c r="AH34" s="49" t="n">
        <x:v>7.6</x:v>
      </x:c>
      <x:c r="AI34" s="46" t="n">
        <x:v>0.6668794604716822</x:v>
      </x:c>
      <x:c r="AJ34" s="50" t="str">
        <x:v>Cronograma depende da contratação de consultoria especializada.</x:v>
      </x:c>
      <x:c r="AK34" s="45" t="n">
        <x:v>46252</x:v>
      </x:c>
    </x:row>
    <x:row r="35">
      <x:c r="A35" s="39" t="str">
        <x:v>ARQ-034</x:v>
      </x:c>
      <x:c r="B35" s="39" t="str">
        <x:v>Vértice Plaza</x:v>
      </x:c>
      <x:c r="C35" s="39" t="str">
        <x:v>Logis Brasil</x:v>
      </x:c>
      <x:c r="D35" s="39" t="str">
        <x:v>Urbanismo</x:v>
      </x:c>
      <x:c r="E35" s="39" t="str">
        <x:v>Recife</x:v>
      </x:c>
      <x:c r="F35" s="39" t="str">
        <x:v>PE</x:v>
      </x:c>
      <x:c r="G35" s="39" t="str">
        <x:v>Helena Prado</x:v>
      </x:c>
      <x:c r="H35" s="39" t="str">
        <x:v>Elisa Moura</x:v>
      </x:c>
      <x:c r="I35" s="39" t="str">
        <x:v>Estudo preliminar</x:v>
      </x:c>
      <x:c r="J35" s="39" t="str">
        <x:v>Cancelado</x:v>
      </x:c>
      <x:c r="K35" s="39" t="str">
        <x:v>Alto</x:v>
      </x:c>
      <x:c r="L35" s="45" t="n">
        <x:v>45708</x:v>
      </x:c>
      <x:c r="M35" s="39"/>
      <x:c r="N35" s="45" t="n">
        <x:v>46225</x:v>
      </x:c>
      <x:c r="O35" s="45" t="n">
        <x:v>46250</x:v>
      </x:c>
      <x:c r="P35" s="48" t="n">
        <x:v>25</x:v>
      </x:c>
      <x:c r="Q35" s="46" t="n">
        <x:v>1</x:v>
      </x:c>
      <x:c r="R35" s="46" t="n">
        <x:v>0.02</x:v>
      </x:c>
      <x:c r="S35" s="46" t="n">
        <x:v>-0.98</x:v>
      </x:c>
      <x:c r="T35" s="47" t="n">
        <x:v>3605000</x:v>
      </x:c>
      <x:c r="U35" s="47" t="n">
        <x:v>72000</x:v>
      </x:c>
      <x:c r="V35" s="47" t="n">
        <x:v>68000</x:v>
      </x:c>
      <x:c r="W35" s="47" t="n">
        <x:v>62000</x:v>
      </x:c>
      <x:c r="X35" s="47" t="n">
        <x:v>3533000</x:v>
      </x:c>
      <x:c r="Y35" s="47" t="n">
        <x:v>2487000</x:v>
      </x:c>
      <x:c r="Z35" s="47" t="n">
        <x:v>47000</x:v>
      </x:c>
      <x:c r="AA35" s="47" t="n">
        <x:v>2786000</x:v>
      </x:c>
      <x:c r="AB35" s="46" t="n">
        <x:v>0.22718446601941747</x:v>
      </x:c>
      <x:c r="AC35" s="46" t="n">
        <x:v>0.3472222222222222</x:v>
      </x:c>
      <x:c r="AD35" s="48" t="n">
        <x:v>18000</x:v>
      </x:c>
      <x:c r="AE35" s="48" t="n">
        <x:v>390</x:v>
      </x:c>
      <x:c r="AF35" s="46" t="n">
        <x:v>0.001666666666666667</x:v>
      </x:c>
      <x:c r="AG35" s="48" t="n">
        <x:v>1</x:v>
      </x:c>
      <x:c r="AH35" s="49" t="n">
        <x:v>8.1</x:v>
      </x:c>
      <x:c r="AI35" s="46" t="n">
        <x:v>0.8202770243072882</x:v>
      </x:c>
      <x:c r="AJ35" s="50" t="str">
        <x:v>Cliente avaliando ampliação de escopo.</x:v>
      </x:c>
      <x:c r="AK35" s="45" t="n">
        <x:v>46249</x:v>
      </x:c>
    </x:row>
    <x:row r="36">
      <x:c r="A36" s="39" t="str">
        <x:v>ARQ-035</x:v>
      </x:c>
      <x:c r="B36" s="39" t="str">
        <x:v>Boreal Center</x:v>
      </x:c>
      <x:c r="C36" s="39" t="str">
        <x:v>Rede Pátio</x:v>
      </x:c>
      <x:c r="D36" s="39" t="str">
        <x:v>Residencial</x:v>
      </x:c>
      <x:c r="E36" s="39" t="str">
        <x:v>Eusébio</x:v>
      </x:c>
      <x:c r="F36" s="39" t="str">
        <x:v>CE</x:v>
      </x:c>
      <x:c r="G36" s="39" t="str">
        <x:v>Helena Prado</x:v>
      </x:c>
      <x:c r="H36" s="39" t="str">
        <x:v>Daniel Freitas</x:v>
      </x:c>
      <x:c r="I36" s="39" t="str">
        <x:v>Estudo preliminar</x:v>
      </x:c>
      <x:c r="J36" s="39" t="str">
        <x:v>Em andamento</x:v>
      </x:c>
      <x:c r="K36" s="39" t="str">
        <x:v>Medio</x:v>
      </x:c>
      <x:c r="L36" s="45" t="n">
        <x:v>46161</x:v>
      </x:c>
      <x:c r="M36" s="39"/>
      <x:c r="N36" s="45" t="n">
        <x:v>46739</x:v>
      </x:c>
      <x:c r="O36" s="45" t="n">
        <x:v>46788</x:v>
      </x:c>
      <x:c r="P36" s="48" t="n">
        <x:v>49</x:v>
      </x:c>
      <x:c r="Q36" s="46" t="n">
        <x:v>0.17993079584775087</x:v>
      </x:c>
      <x:c r="R36" s="46" t="n">
        <x:v>0.08821780850862679</x:v>
      </x:c>
      <x:c r="S36" s="46" t="n">
        <x:v>-0.09171298733912409</x:v>
      </x:c>
      <x:c r="T36" s="47" t="n">
        <x:v>2190000</x:v>
      </x:c>
      <x:c r="U36" s="47" t="n">
        <x:v>184000</x:v>
      </x:c>
      <x:c r="V36" s="47" t="n">
        <x:v>182000</x:v>
      </x:c>
      <x:c r="W36" s="47" t="n">
        <x:v>149000</x:v>
      </x:c>
      <x:c r="X36" s="47" t="n">
        <x:v>2006000</x:v>
      </x:c>
      <x:c r="Y36" s="47" t="n">
        <x:v>1510000</x:v>
      </x:c>
      <x:c r="Z36" s="47" t="n">
        <x:v>153000</x:v>
      </x:c>
      <x:c r="AA36" s="47" t="n">
        <x:v>1454000</x:v>
      </x:c>
      <x:c r="AB36" s="46" t="n">
        <x:v>0.3360730593607306</x:v>
      </x:c>
      <x:c r="AC36" s="46" t="n">
        <x:v>0.16847826086956522</x:v>
      </x:c>
      <x:c r="AD36" s="48" t="n">
        <x:v>12700</x:v>
      </x:c>
      <x:c r="AE36" s="48" t="n">
        <x:v>1280</x:v>
      </x:c>
      <x:c r="AF36" s="46" t="n">
        <x:v>0.01256959306617636</x:v>
      </x:c>
      <x:c r="AG36" s="48" t="n">
        <x:v>2</x:v>
      </x:c>
      <x:c r="AH36" s="49" t="n">
        <x:v>6.8</x:v>
      </x:c>
      <x:c r="AI36" s="46" t="n">
        <x:v>0.5866131363948807</x:v>
      </x:c>
      <x:c r="AJ36" s="50" t="str">
        <x:v>Revisão de layout solicitada pelo operador.</x:v>
      </x:c>
      <x:c r="AK36" s="45" t="n">
        <x:v>46251</x:v>
      </x:c>
    </x:row>
    <x:row r="37">
      <x:c r="A37" s="39" t="str">
        <x:v>ARQ-036</x:v>
      </x:c>
      <x:c r="B37" s="39" t="str">
        <x:v>Estacao Plaza</x:v>
      </x:c>
      <x:c r="C37" s="39" t="str">
        <x:v>Cais Urbanismo</x:v>
      </x:c>
      <x:c r="D37" s="39" t="str">
        <x:v>Urbanismo</x:v>
      </x:c>
      <x:c r="E37" s="39" t="str">
        <x:v>João Pessoa</x:v>
      </x:c>
      <x:c r="F37" s="39" t="str">
        <x:v>PB</x:v>
      </x:c>
      <x:c r="G37" s="39" t="str">
        <x:v>Helena Prado</x:v>
      </x:c>
      <x:c r="H37" s="39" t="str">
        <x:v>Bianca Rocha</x:v>
      </x:c>
      <x:c r="I37" s="39" t="str">
        <x:v>Projeto executivo</x:v>
      </x:c>
      <x:c r="J37" s="39" t="str">
        <x:v>Em andamento</x:v>
      </x:c>
      <x:c r="K37" s="39" t="str">
        <x:v>Medio</x:v>
      </x:c>
      <x:c r="L37" s="45" t="n">
        <x:v>45743</x:v>
      </x:c>
      <x:c r="M37" s="39"/>
      <x:c r="N37" s="45" t="n">
        <x:v>46534</x:v>
      </x:c>
      <x:c r="O37" s="45" t="n">
        <x:v>46603</x:v>
      </x:c>
      <x:c r="P37" s="48" t="n">
        <x:v>69</x:v>
      </x:c>
      <x:c r="Q37" s="46" t="n">
        <x:v>0.6599241466498104</x:v>
      </x:c>
      <x:c r="R37" s="46" t="n">
        <x:v>0.5396104671437394</x:v>
      </x:c>
      <x:c r="S37" s="46" t="n">
        <x:v>-0.12031367950607097</x:v>
      </x:c>
      <x:c r="T37" s="47" t="n">
        <x:v>3270000</x:v>
      </x:c>
      <x:c r="U37" s="47" t="n">
        <x:v>1727000</x:v>
      </x:c>
      <x:c r="V37" s="47" t="n">
        <x:v>1829000</x:v>
      </x:c>
      <x:c r="W37" s="47" t="n">
        <x:v>1486000</x:v>
      </x:c>
      <x:c r="X37" s="47" t="n">
        <x:v>1543000</x:v>
      </x:c>
      <x:c r="Y37" s="47" t="n">
        <x:v>2016000</x:v>
      </x:c>
      <x:c r="Z37" s="47" t="n">
        <x:v>1258000</x:v>
      </x:c>
      <x:c r="AA37" s="47" t="n">
        <x:v>2067000</x:v>
      </x:c>
      <x:c r="AB37" s="46" t="n">
        <x:v>0.3678899082568807</x:v>
      </x:c>
      <x:c r="AC37" s="46" t="n">
        <x:v>0.27156919513607414</x:v>
      </x:c>
      <x:c r="AD37" s="48" t="n">
        <x:v>23000</x:v>
      </x:c>
      <x:c r="AE37" s="48" t="n">
        <x:v>12940</x:v>
      </x:c>
      <x:c r="AF37" s="46" t="n">
        <x:v>0.02299822850843447</x:v>
      </x:c>
      <x:c r="AG37" s="48" t="n">
        <x:v>5</x:v>
      </x:c>
      <x:c r="AH37" s="49" t="n">
        <x:v>8.1</x:v>
      </x:c>
      <x:c r="AI37" s="46" t="n">
        <x:v>0.754796420787461</x:v>
      </x:c>
      <x:c r="AJ37" s="50" t="str">
        <x:v>Compatibilização BIM reduziu interferências críticas.</x:v>
      </x:c>
      <x:c r="AK37" s="45" t="n">
        <x:v>46258</x:v>
      </x:c>
    </x:row>
    <x:row r="38">
      <x:c r="A38" s="39" t="str">
        <x:v>ARQ-037</x:v>
      </x:c>
      <x:c r="B38" s="39" t="str">
        <x:v>Mosaico Center</x:v>
      </x:c>
      <x:c r="C38" s="39" t="str">
        <x:v>Rede Pátio</x:v>
      </x:c>
      <x:c r="D38" s="39" t="str">
        <x:v>Urbanismo</x:v>
      </x:c>
      <x:c r="E38" s="39" t="str">
        <x:v>Salvador</x:v>
      </x:c>
      <x:c r="F38" s="39" t="str">
        <x:v>BA</x:v>
      </x:c>
      <x:c r="G38" s="39" t="str">
        <x:v>Marina Costa</x:v>
      </x:c>
      <x:c r="H38" s="39" t="str">
        <x:v>Elisa Moura</x:v>
      </x:c>
      <x:c r="I38" s="39" t="str">
        <x:v>Estudo preliminar</x:v>
      </x:c>
      <x:c r="J38" s="39" t="str">
        <x:v>Em andamento</x:v>
      </x:c>
      <x:c r="K38" s="39" t="str">
        <x:v>Baixo</x:v>
      </x:c>
      <x:c r="L38" s="45" t="n">
        <x:v>46158</x:v>
      </x:c>
      <x:c r="M38" s="39"/>
      <x:c r="N38" s="45" t="n">
        <x:v>46797</x:v>
      </x:c>
      <x:c r="O38" s="45" t="n">
        <x:v>46828</x:v>
      </x:c>
      <x:c r="P38" s="48" t="n">
        <x:v>31</x:v>
      </x:c>
      <x:c r="Q38" s="46" t="n">
        <x:v>0.1674491392801252</x:v>
      </x:c>
      <x:c r="R38" s="46" t="n">
        <x:v>0.13253819213981896</x:v>
      </x:c>
      <x:c r="S38" s="46" t="n">
        <x:v>-0.03491094714030624</x:v>
      </x:c>
      <x:c r="T38" s="47" t="n">
        <x:v>3040000</x:v>
      </x:c>
      <x:c r="U38" s="47" t="n">
        <x:v>395000</x:v>
      </x:c>
      <x:c r="V38" s="47" t="n">
        <x:v>378000</x:v>
      </x:c>
      <x:c r="W38" s="47" t="n">
        <x:v>361000</x:v>
      </x:c>
      <x:c r="X38" s="47" t="n">
        <x:v>2645000</x:v>
      </x:c>
      <x:c r="Y38" s="47" t="n">
        <x:v>1806000</x:v>
      </x:c>
      <x:c r="Z38" s="47" t="n">
        <x:v>270000</x:v>
      </x:c>
      <x:c r="AA38" s="47" t="n">
        <x:v>1821000</x:v>
      </x:c>
      <x:c r="AB38" s="46" t="n">
        <x:v>0.40098684210526314</x:v>
      </x:c>
      <x:c r="AC38" s="46" t="n">
        <x:v>0.31645569620253167</x:v>
      </x:c>
      <x:c r="AD38" s="48" t="n">
        <x:v>23900</x:v>
      </x:c>
      <x:c r="AE38" s="48" t="n">
        <x:v>3670</x:v>
      </x:c>
      <x:c r="AF38" s="46" t="n">
        <x:v>0.02101829321582957</x:v>
      </x:c>
      <x:c r="AG38" s="48" t="n">
        <x:v>6</x:v>
      </x:c>
      <x:c r="AH38" s="49" t="n">
        <x:v>8.5</x:v>
      </x:c>
      <x:c r="AI38" s="46" t="n">
        <x:v>0.7528938982589171</x:v>
      </x:c>
      <x:c r="AJ38" s="50" t="str">
        <x:v>Compatibilização BIM reduziu interferências críticas.</x:v>
      </x:c>
      <x:c r="AK38" s="45" t="n">
        <x:v>46253</x:v>
      </x:c>
    </x:row>
    <x:row r="39">
      <x:c r="A39" s="39" t="str">
        <x:v>ARQ-038</x:v>
      </x:c>
      <x:c r="B39" s="39" t="str">
        <x:v>Norte Park</x:v>
      </x:c>
      <x:c r="C39" s="39" t="str">
        <x:v>Cais Urbanismo</x:v>
      </x:c>
      <x:c r="D39" s="39" t="str">
        <x:v>Residencial</x:v>
      </x:c>
      <x:c r="E39" s="39" t="str">
        <x:v>Fortaleza</x:v>
      </x:c>
      <x:c r="F39" s="39" t="str">
        <x:v>CE</x:v>
      </x:c>
      <x:c r="G39" s="39" t="str">
        <x:v>Marina Costa</x:v>
      </x:c>
      <x:c r="H39" s="39" t="str">
        <x:v>Hugo Tavares</x:v>
      </x:c>
      <x:c r="I39" s="39" t="str">
        <x:v>Acompanhamento de obra</x:v>
      </x:c>
      <x:c r="J39" s="39" t="str">
        <x:v>Em espera</x:v>
      </x:c>
      <x:c r="K39" s="39" t="str">
        <x:v>Medio</x:v>
      </x:c>
      <x:c r="L39" s="45" t="n">
        <x:v>45333</x:v>
      </x:c>
      <x:c r="M39" s="39"/>
      <x:c r="N39" s="45" t="n">
        <x:v>45577</x:v>
      </x:c>
      <x:c r="O39" s="45" t="n">
        <x:v>45584</x:v>
      </x:c>
      <x:c r="P39" s="48" t="n">
        <x:v>7</x:v>
      </x:c>
      <x:c r="Q39" s="46" t="n">
        <x:v>1</x:v>
      </x:c>
      <x:c r="R39" s="46" t="n">
        <x:v>0.8569290663022548</x:v>
      </x:c>
      <x:c r="S39" s="46" t="n">
        <x:v>-0.14307093369774515</x:v>
      </x:c>
      <x:c r="T39" s="47" t="n">
        <x:v>1555000</x:v>
      </x:c>
      <x:c r="U39" s="47" t="n">
        <x:v>1254000</x:v>
      </x:c>
      <x:c r="V39" s="47" t="n">
        <x:v>1235000</x:v>
      </x:c>
      <x:c r="W39" s="47" t="n">
        <x:v>1114000</x:v>
      </x:c>
      <x:c r="X39" s="47" t="n">
        <x:v>301000</x:v>
      </x:c>
      <x:c r="Y39" s="47" t="n">
        <x:v>929000</x:v>
      </x:c>
      <x:c r="Z39" s="47" t="n">
        <x:v>726000</x:v>
      </x:c>
      <x:c r="AA39" s="47" t="n">
        <x:v>1039000</x:v>
      </x:c>
      <x:c r="AB39" s="46" t="n">
        <x:v>0.33183279742765276</x:v>
      </x:c>
      <x:c r="AC39" s="46" t="n">
        <x:v>0.42105263157894735</x:v>
      </x:c>
      <x:c r="AD39" s="48" t="n">
        <x:v>7050</x:v>
      </x:c>
      <x:c r="AE39" s="48" t="n">
        <x:v>5520</x:v>
      </x:c>
      <x:c r="AF39" s="46" t="n">
        <x:v>-0.07395034289799951</x:v>
      </x:c>
      <x:c r="AG39" s="48" t="n">
        <x:v>5</x:v>
      </x:c>
      <x:c r="AH39" s="49" t="n">
        <x:v>7.9</x:v>
      </x:c>
      <x:c r="AI39" s="46" t="n">
        <x:v>0.7694199413945899</x:v>
      </x:c>
      <x:c r="AJ39" s="50" t="str">
        <x:v>Margem pressionada por horas adicionais não faturadas.</x:v>
      </x:c>
      <x:c r="AK39" s="45" t="n">
        <x:v>46247</x:v>
      </x:c>
    </x:row>
    <x:row r="40">
      <x:c r="A40" s="39" t="str">
        <x:v>ARQ-039</x:v>
      </x:c>
      <x:c r="B40" s="39" t="str">
        <x:v>Almeida Plaza</x:v>
      </x:c>
      <x:c r="C40" s="39" t="str">
        <x:v>Grupo Atlântica</x:v>
      </x:c>
      <x:c r="D40" s="39" t="str">
        <x:v>Hotelaria</x:v>
      </x:c>
      <x:c r="E40" s="39" t="str">
        <x:v>São Paulo</x:v>
      </x:c>
      <x:c r="F40" s="39" t="str">
        <x:v>SP</x:v>
      </x:c>
      <x:c r="G40" s="39" t="str">
        <x:v>Caio Martins</x:v>
      </x:c>
      <x:c r="H40" s="39" t="str">
        <x:v>Isabela Melo</x:v>
      </x:c>
      <x:c r="I40" s="39" t="str">
        <x:v>Estudo preliminar</x:v>
      </x:c>
      <x:c r="J40" s="39" t="str">
        <x:v>Em andamento</x:v>
      </x:c>
      <x:c r="K40" s="39" t="str">
        <x:v>Alto</x:v>
      </x:c>
      <x:c r="L40" s="45" t="n">
        <x:v>46156</x:v>
      </x:c>
      <x:c r="M40" s="39"/>
      <x:c r="N40" s="45" t="n">
        <x:v>46552</x:v>
      </x:c>
      <x:c r="O40" s="45" t="n">
        <x:v>46615</x:v>
      </x:c>
      <x:c r="P40" s="48" t="n">
        <x:v>63</x:v>
      </x:c>
      <x:c r="Q40" s="46" t="n">
        <x:v>0.27525252525252525</x:v>
      </x:c>
      <x:c r="R40" s="46" t="n">
        <x:v>0.10139538332843456</x:v>
      </x:c>
      <x:c r="S40" s="46" t="n">
        <x:v>-0.17385714192409069</x:v>
      </x:c>
      <x:c r="T40" s="47" t="n">
        <x:v>3200000</x:v>
      </x:c>
      <x:c r="U40" s="47" t="n">
        <x:v>292000</x:v>
      </x:c>
      <x:c r="V40" s="47" t="n">
        <x:v>292000</x:v>
      </x:c>
      <x:c r="W40" s="47" t="n">
        <x:v>258000</x:v>
      </x:c>
      <x:c r="X40" s="47" t="n">
        <x:v>2908000</x:v>
      </x:c>
      <x:c r="Y40" s="47" t="n">
        <x:v>1855000</x:v>
      </x:c>
      <x:c r="Z40" s="47" t="n">
        <x:v>216000</x:v>
      </x:c>
      <x:c r="AA40" s="47" t="n">
        <x:v>1921000</x:v>
      </x:c>
      <x:c r="AB40" s="46" t="n">
        <x:v>0.3996875</x:v>
      </x:c>
      <x:c r="AC40" s="46" t="n">
        <x:v>0.2602739726027397</x:v>
      </x:c>
      <x:c r="AD40" s="48" t="n">
        <x:v>20500</x:v>
      </x:c>
      <x:c r="AE40" s="48" t="n">
        <x:v>2170</x:v>
      </x:c>
      <x:c r="AF40" s="46" t="n">
        <x:v>0.0044582752081508</x:v>
      </x:c>
      <x:c r="AG40" s="48" t="n">
        <x:v>0</x:v>
      </x:c>
      <x:c r="AH40" s="49" t="n">
        <x:v>6.8</x:v>
      </x:c>
      <x:c r="AI40" s="46" t="n">
        <x:v>0.6316145200328901</x:v>
      </x:c>
      <x:c r="AJ40" s="50" t="str">
        <x:v>Cliente avaliando ampliação de escopo.</x:v>
      </x:c>
      <x:c r="AK40" s="45" t="n">
        <x:v>46245</x:v>
      </x:c>
    </x:row>
    <x:row r="41">
      <x:c r="A41" s="39" t="str">
        <x:v>ARQ-040</x:v>
      </x:c>
      <x:c r="B41" s="39" t="str">
        <x:v>Jardins Center</x:v>
      </x:c>
      <x:c r="C41" s="39" t="str">
        <x:v>Viva Incorporadora</x:v>
      </x:c>
      <x:c r="D41" s="39" t="str">
        <x:v>Hotelaria</x:v>
      </x:c>
      <x:c r="E41" s="39" t="str">
        <x:v>Campinas</x:v>
      </x:c>
      <x:c r="F41" s="39" t="str">
        <x:v>SP</x:v>
      </x:c>
      <x:c r="G41" s="39" t="str">
        <x:v>Marina Costa</x:v>
      </x:c>
      <x:c r="H41" s="39" t="str">
        <x:v>Daniel Freitas</x:v>
      </x:c>
      <x:c r="I41" s="39" t="str">
        <x:v>Projeto executivo</x:v>
      </x:c>
      <x:c r="J41" s="39" t="str">
        <x:v>Em andamento</x:v>
      </x:c>
      <x:c r="K41" s="39" t="str">
        <x:v>Baixo</x:v>
      </x:c>
      <x:c r="L41" s="45" t="n">
        <x:v>45818</x:v>
      </x:c>
      <x:c r="M41" s="39"/>
      <x:c r="N41" s="45" t="n">
        <x:v>46518</x:v>
      </x:c>
      <x:c r="O41" s="45" t="n">
        <x:v>46524</x:v>
      </x:c>
      <x:c r="P41" s="48" t="n">
        <x:v>6</x:v>
      </x:c>
      <x:c r="Q41" s="46" t="n">
        <x:v>0.6385714285714286</x:v>
      </x:c>
      <x:c r="R41" s="46" t="n">
        <x:v>0.5850280629550773</x:v>
      </x:c>
      <x:c r="S41" s="46" t="n">
        <x:v>-0.05354336561635131</x:v>
      </x:c>
      <x:c r="T41" s="47" t="n">
        <x:v>1085000</x:v>
      </x:c>
      <x:c r="U41" s="47" t="n">
        <x:v>614000</x:v>
      </x:c>
      <x:c r="V41" s="47" t="n">
        <x:v>591000</x:v>
      </x:c>
      <x:c r="W41" s="47" t="n">
        <x:v>476000</x:v>
      </x:c>
      <x:c r="X41" s="47" t="n">
        <x:v>471000</x:v>
      </x:c>
      <x:c r="Y41" s="47" t="n">
        <x:v>603000</x:v>
      </x:c>
      <x:c r="Z41" s="47" t="n">
        <x:v>319000</x:v>
      </x:c>
      <x:c r="AA41" s="47" t="n">
        <x:v>633000</x:v>
      </x:c>
      <x:c r="AB41" s="46" t="n">
        <x:v>0.4165898617511521</x:v>
      </x:c>
      <x:c r="AC41" s="46" t="n">
        <x:v>0.4804560260586319</x:v>
      </x:c>
      <x:c r="AD41" s="48" t="n">
        <x:v>10650</x:v>
      </x:c>
      <x:c r="AE41" s="48" t="n">
        <x:v>7060</x:v>
      </x:c>
      <x:c r="AF41" s="46" t="n">
        <x:v>0.07788273516698851</x:v>
      </x:c>
      <x:c r="AG41" s="48" t="n">
        <x:v>0</x:v>
      </x:c>
      <x:c r="AH41" s="49" t="n">
        <x:v>8.2</x:v>
      </x:c>
      <x:c r="AI41" s="46" t="n">
        <x:v>0.7517059797002003</x:v>
      </x:c>
      <x:c r="AJ41" s="50" t="str">
        <x:v>Equipe reforçada para recuperar o cronograma.</x:v>
      </x:c>
      <x:c r="AK41" s="45" t="n">
        <x:v>46265</x:v>
      </x:c>
    </x:row>
    <x:row r="42">
      <x:c r="A42" s="39" t="str">
        <x:v>ARQ-041</x:v>
      </x:c>
      <x:c r="B42" s="39" t="str">
        <x:v>Prisma Complex</x:v>
      </x:c>
      <x:c r="C42" s="39" t="str">
        <x:v>Instituto Veredas</x:v>
      </x:c>
      <x:c r="D42" s="39" t="str">
        <x:v>Hospitalar</x:v>
      </x:c>
      <x:c r="E42" s="39" t="str">
        <x:v>João Pessoa</x:v>
      </x:c>
      <x:c r="F42" s="39" t="str">
        <x:v>PB</x:v>
      </x:c>
      <x:c r="G42" s="39" t="str">
        <x:v>Marina Costa</x:v>
      </x:c>
      <x:c r="H42" s="39" t="str">
        <x:v>Felipe Andrade</x:v>
      </x:c>
      <x:c r="I42" s="39" t="str">
        <x:v>Compatibilização</x:v>
      </x:c>
      <x:c r="J42" s="39" t="str">
        <x:v>Em andamento</x:v>
      </x:c>
      <x:c r="K42" s="39" t="str">
        <x:v>Medio</x:v>
      </x:c>
      <x:c r="L42" s="45" t="n">
        <x:v>45694</x:v>
      </x:c>
      <x:c r="M42" s="39"/>
      <x:c r="N42" s="45" t="n">
        <x:v>46425</x:v>
      </x:c>
      <x:c r="O42" s="45" t="n">
        <x:v>46485</x:v>
      </x:c>
      <x:c r="P42" s="48" t="n">
        <x:v>60</x:v>
      </x:c>
      <x:c r="Q42" s="46" t="n">
        <x:v>0.7811217510259918</x:v>
      </x:c>
      <x:c r="R42" s="46" t="n">
        <x:v>0.686225631532932</x:v>
      </x:c>
      <x:c r="S42" s="46" t="n">
        <x:v>-0.09489611949305976</x:v>
      </x:c>
      <x:c r="T42" s="47" t="n">
        <x:v>2010000</x:v>
      </x:c>
      <x:c r="U42" s="47" t="n">
        <x:v>1455000</x:v>
      </x:c>
      <x:c r="V42" s="47" t="n">
        <x:v>1550000</x:v>
      </x:c>
      <x:c r="W42" s="47" t="n">
        <x:v>1481000</x:v>
      </x:c>
      <x:c r="X42" s="47" t="n">
        <x:v>555000</x:v>
      </x:c>
      <x:c r="Y42" s="47" t="n">
        <x:v>1251000</x:v>
      </x:c>
      <x:c r="Z42" s="47" t="n">
        <x:v>877000</x:v>
      </x:c>
      <x:c r="AA42" s="47" t="n">
        <x:v>1366000</x:v>
      </x:c>
      <x:c r="AB42" s="46" t="n">
        <x:v>0.32039800995024875</x:v>
      </x:c>
      <x:c r="AC42" s="46" t="n">
        <x:v>0.3972508591065292</x:v>
      </x:c>
      <x:c r="AD42" s="48" t="n">
        <x:v>19200</x:v>
      </x:c>
      <x:c r="AE42" s="48" t="n">
        <x:v>15090</x:v>
      </x:c>
      <x:c r="AF42" s="46" t="n">
        <x:v>0.09971186846706792</x:v>
      </x:c>
      <x:c r="AG42" s="48" t="n">
        <x:v>1</x:v>
      </x:c>
      <x:c r="AH42" s="49" t="n">
        <x:v>8.6</x:v>
      </x:c>
      <x:c r="AI42" s="46" t="n">
        <x:v>0.8593023215094582</x:v>
      </x:c>
      <x:c r="AJ42" s="50" t="str">
        <x:v>Equipe reforçada para recuperar o cronograma.</x:v>
      </x:c>
      <x:c r="AK42" s="45" t="n">
        <x:v>46255</x:v>
      </x:c>
    </x:row>
    <x:row r="43">
      <x:c r="A43" s="39" t="str">
        <x:v>ARQ-042</x:v>
      </x:c>
      <x:c r="B43" s="39" t="str">
        <x:v>Almeida Hotel</x:v>
      </x:c>
      <x:c r="C43" s="39" t="str">
        <x:v>Grupo Atlântica</x:v>
      </x:c>
      <x:c r="D43" s="39" t="str">
        <x:v>Corporativo</x:v>
      </x:c>
      <x:c r="E43" s="39" t="str">
        <x:v>Eusébio</x:v>
      </x:c>
      <x:c r="F43" s="39" t="str">
        <x:v>CE</x:v>
      </x:c>
      <x:c r="G43" s="39" t="str">
        <x:v>Marina Costa</x:v>
      </x:c>
      <x:c r="H43" s="39" t="str">
        <x:v>João Brito</x:v>
      </x:c>
      <x:c r="I43" s="39" t="str">
        <x:v>Anteprojeto</x:v>
      </x:c>
      <x:c r="J43" s="39" t="str">
        <x:v>Em andamento</x:v>
      </x:c>
      <x:c r="K43" s="39" t="str">
        <x:v>Medio</x:v>
      </x:c>
      <x:c r="L43" s="45" t="n">
        <x:v>45884</x:v>
      </x:c>
      <x:c r="M43" s="39"/>
      <x:c r="N43" s="45" t="n">
        <x:v>46706</x:v>
      </x:c>
      <x:c r="O43" s="45" t="n">
        <x:v>46697</x:v>
      </x:c>
      <x:c r="P43" s="48" t="n">
        <x:v>-9</x:v>
      </x:c>
      <x:c r="Q43" s="46" t="n">
        <x:v>0.4635036496350365</x:v>
      </x:c>
      <x:c r="R43" s="46" t="n">
        <x:v>0.3226897356843399</x:v>
      </x:c>
      <x:c r="S43" s="46" t="n">
        <x:v>-0.1408139139506966</x:v>
      </x:c>
      <x:c r="T43" s="47" t="n">
        <x:v>745000</x:v>
      </x:c>
      <x:c r="U43" s="47" t="n">
        <x:v>229000</x:v>
      </x:c>
      <x:c r="V43" s="47" t="n">
        <x:v>241000</x:v>
      </x:c>
      <x:c r="W43" s="47" t="n">
        <x:v>209000</x:v>
      </x:c>
      <x:c r="X43" s="47" t="n">
        <x:v>516000</x:v>
      </x:c>
      <x:c r="Y43" s="47" t="n">
        <x:v>419000</x:v>
      </x:c>
      <x:c r="Z43" s="47" t="n">
        <x:v>130000</x:v>
      </x:c>
      <x:c r="AA43" s="47" t="n">
        <x:v>465000</x:v>
      </x:c>
      <x:c r="AB43" s="46" t="n">
        <x:v>0.37583892617449666</x:v>
      </x:c>
      <x:c r="AC43" s="46" t="n">
        <x:v>0.43231441048034935</x:v>
      </x:c>
      <x:c r="AD43" s="48" t="n">
        <x:v>18150</x:v>
      </x:c>
      <x:c r="AE43" s="48" t="n">
        <x:v>6740</x:v>
      </x:c>
      <x:c r="AF43" s="46" t="n">
        <x:v>0.04866012657461327</x:v>
      </x:c>
      <x:c r="AG43" s="48" t="n">
        <x:v>3</x:v>
      </x:c>
      <x:c r="AH43" s="49" t="n">
        <x:v>7.2</x:v>
      </x:c>
      <x:c r="AI43" s="46" t="n">
        <x:v>0.69202667852398</x:v>
      </x:c>
      <x:c r="AJ43" s="50" t="str">
        <x:v>Projeto com potencial de expansão para nova unidade.</x:v>
      </x:c>
      <x:c r="AK43" s="45" t="n">
        <x:v>46262</x:v>
      </x:c>
    </x:row>
    <x:row r="44">
      <x:c r="A44" s="39" t="str">
        <x:v>ARQ-043</x:v>
      </x:c>
      <x:c r="B44" s="39" t="str">
        <x:v>Jardins Mall</x:v>
      </x:c>
      <x:c r="C44" s="39" t="str">
        <x:v>Rede Pátio</x:v>
      </x:c>
      <x:c r="D44" s="39" t="str">
        <x:v>Hotelaria</x:v>
      </x:c>
      <x:c r="E44" s="39" t="str">
        <x:v>Fortaleza</x:v>
      </x:c>
      <x:c r="F44" s="39" t="str">
        <x:v>CE</x:v>
      </x:c>
      <x:c r="G44" s="39" t="str">
        <x:v>Helena Prado</x:v>
      </x:c>
      <x:c r="H44" s="39" t="str">
        <x:v>João Brito</x:v>
      </x:c>
      <x:c r="I44" s="39" t="str">
        <x:v>Acompanhamento de obra</x:v>
      </x:c>
      <x:c r="J44" s="39" t="str">
        <x:v>Em andamento</x:v>
      </x:c>
      <x:c r="K44" s="39" t="str">
        <x:v>Medio</x:v>
      </x:c>
      <x:c r="L44" s="45" t="n">
        <x:v>45470</x:v>
      </x:c>
      <x:c r="M44" s="39"/>
      <x:c r="N44" s="45" t="n">
        <x:v>46170</x:v>
      </x:c>
      <x:c r="O44" s="45" t="n">
        <x:v>46218</x:v>
      </x:c>
      <x:c r="P44" s="48" t="n">
        <x:v>48</x:v>
      </x:c>
      <x:c r="Q44" s="46" t="n">
        <x:v>1</x:v>
      </x:c>
      <x:c r="R44" s="46" t="n">
        <x:v>0.8878793883509934</x:v>
      </x:c>
      <x:c r="S44" s="46" t="n">
        <x:v>-0.11212061164900655</x:v>
      </x:c>
      <x:c r="T44" s="47" t="n">
        <x:v>3180000</x:v>
      </x:c>
      <x:c r="U44" s="47" t="n">
        <x:v>2820000</x:v>
      </x:c>
      <x:c r="V44" s="47" t="n">
        <x:v>2950000</x:v>
      </x:c>
      <x:c r="W44" s="47" t="n">
        <x:v>2680000</x:v>
      </x:c>
      <x:c r="X44" s="47" t="n">
        <x:v>360000</x:v>
      </x:c>
      <x:c r="Y44" s="47" t="n">
        <x:v>1936000</x:v>
      </x:c>
      <x:c r="Z44" s="47" t="n">
        <x:v>1838000</x:v>
      </x:c>
      <x:c r="AA44" s="47" t="n">
        <x:v>1971000</x:v>
      </x:c>
      <x:c r="AB44" s="46" t="n">
        <x:v>0.38018867924528305</x:v>
      </x:c>
      <x:c r="AC44" s="46" t="n">
        <x:v>0.34822695035460993</x:v>
      </x:c>
      <x:c r="AD44" s="48" t="n">
        <x:v>20450</x:v>
      </x:c>
      <x:c r="AE44" s="48" t="n">
        <x:v>18350</x:v>
      </x:c>
      <x:c r="AF44" s="46" t="n">
        <x:v>0.009431125096439286</x:v>
      </x:c>
      <x:c r="AG44" s="48" t="n">
        <x:v>1</x:v>
      </x:c>
      <x:c r="AH44" s="49" t="n">
        <x:v>6.8</x:v>
      </x:c>
      <x:c r="AI44" s="46" t="n">
        <x:v>0.6304035773081704</x:v>
      </x:c>
      <x:c r="AJ44" s="50" t="str">
        <x:v>Aprovação municipal é o principal ponto de atenção.</x:v>
      </x:c>
      <x:c r="AK44" s="45" t="n">
        <x:v>46260</x:v>
      </x:c>
    </x:row>
    <x:row r="45">
      <x:c r="A45" s="39" t="str">
        <x:v>ARQ-044</x:v>
      </x:c>
      <x:c r="B45" s="39" t="str">
        <x:v>Almeida Hotel</x:v>
      </x:c>
      <x:c r="C45" s="39" t="str">
        <x:v>Instituto Veredas</x:v>
      </x:c>
      <x:c r="D45" s="39" t="str">
        <x:v>Varejo</x:v>
      </x:c>
      <x:c r="E45" s="39" t="str">
        <x:v>São Paulo</x:v>
      </x:c>
      <x:c r="F45" s="39" t="str">
        <x:v>SP</x:v>
      </x:c>
      <x:c r="G45" s="39" t="str">
        <x:v>Helena Prado</x:v>
      </x:c>
      <x:c r="H45" s="39" t="str">
        <x:v>Felipe Andrade</x:v>
      </x:c>
      <x:c r="I45" s="39" t="str">
        <x:v>Acompanhamento de obra</x:v>
      </x:c>
      <x:c r="J45" s="39" t="str">
        <x:v>Concluido</x:v>
      </x:c>
      <x:c r="K45" s="39" t="str">
        <x:v>Alto</x:v>
      </x:c>
      <x:c r="L45" s="45" t="n">
        <x:v>45580</x:v>
      </x:c>
      <x:c r="M45" s="39"/>
      <x:c r="N45" s="45" t="n">
        <x:v>45884</x:v>
      </x:c>
      <x:c r="O45" s="45" t="n">
        <x:v>45909</x:v>
      </x:c>
      <x:c r="P45" s="48" t="n">
        <x:v>25</x:v>
      </x:c>
      <x:c r="Q45" s="46" t="n">
        <x:v>1</x:v>
      </x:c>
      <x:c r="R45" s="46" t="n">
        <x:v>1</x:v>
      </x:c>
      <x:c r="S45" s="46" t="n">
        <x:v>0</x:v>
      </x:c>
      <x:c r="T45" s="47" t="n">
        <x:v>1335000</x:v>
      </x:c>
      <x:c r="U45" s="47" t="n">
        <x:v>1395000</x:v>
      </x:c>
      <x:c r="V45" s="47" t="n">
        <x:v>1306000</x:v>
      </x:c>
      <x:c r="W45" s="47" t="n">
        <x:v>1076000</x:v>
      </x:c>
      <x:c r="X45" s="47" t="n">
        <x:v>0</x:v>
      </x:c>
      <x:c r="Y45" s="47" t="n">
        <x:v>765000</x:v>
      </x:c>
      <x:c r="Z45" s="47" t="n">
        <x:v>894000</x:v>
      </x:c>
      <x:c r="AA45" s="47" t="n">
        <x:v>894000</x:v>
      </x:c>
      <x:c r="AB45" s="46" t="n">
        <x:v>0.3303370786516854</x:v>
      </x:c>
      <x:c r="AC45" s="46" t="n">
        <x:v>0.35913978494623655</x:v>
      </x:c>
      <x:c r="AD45" s="48" t="n">
        <x:v>3900</x:v>
      </x:c>
      <x:c r="AE45" s="48" t="n">
        <x:v>4380</x:v>
      </x:c>
      <x:c r="AF45" s="46" t="n">
        <x:v>0.12307692307692308</x:v>
      </x:c>
      <x:c r="AG45" s="48" t="n">
        <x:v>6</x:v>
      </x:c>
      <x:c r="AH45" s="49" t="n">
        <x:v>7.1</x:v>
      </x:c>
      <x:c r="AI45" s="46" t="n">
        <x:v>0.6765667534479871</x:v>
      </x:c>
      <x:c r="AJ45" s="50" t="str">
        <x:v>Entrega parcial aceita pelo cliente.</x:v>
      </x:c>
      <x:c r="AK45" s="45" t="n">
        <x:v>46246</x:v>
      </x:c>
    </x:row>
    <x:row r="46">
      <x:c r="A46" s="39" t="str">
        <x:v>ARQ-045</x:v>
      </x:c>
      <x:c r="B46" s="39" t="str">
        <x:v>Urbano Hub</x:v>
      </x:c>
      <x:c r="C46" s="39" t="str">
        <x:v>Cais Urbanismo</x:v>
      </x:c>
      <x:c r="D46" s="39" t="str">
        <x:v>Industrial</x:v>
      </x:c>
      <x:c r="E46" s="39" t="str">
        <x:v>Salvador</x:v>
      </x:c>
      <x:c r="F46" s="39" t="str">
        <x:v>BA</x:v>
      </x:c>
      <x:c r="G46" s="39" t="str">
        <x:v>Helena Prado</x:v>
      </x:c>
      <x:c r="H46" s="39" t="str">
        <x:v>Felipe Andrade</x:v>
      </x:c>
      <x:c r="I46" s="39" t="str">
        <x:v>Acompanhamento de obra</x:v>
      </x:c>
      <x:c r="J46" s="39" t="str">
        <x:v>Em andamento</x:v>
      </x:c>
      <x:c r="K46" s="39" t="str">
        <x:v>Medio</x:v>
      </x:c>
      <x:c r="L46" s="45" t="n">
        <x:v>45367</x:v>
      </x:c>
      <x:c r="M46" s="39"/>
      <x:c r="N46" s="45" t="n">
        <x:v>46098</x:v>
      </x:c>
      <x:c r="O46" s="45" t="n">
        <x:v>46183</x:v>
      </x:c>
      <x:c r="P46" s="48" t="n">
        <x:v>85</x:v>
      </x:c>
      <x:c r="Q46" s="46" t="n">
        <x:v>1</x:v>
      </x:c>
      <x:c r="R46" s="46" t="n">
        <x:v>0.8990533177880571</x:v>
      </x:c>
      <x:c r="S46" s="46" t="n">
        <x:v>-0.10094668221194292</x:v>
      </x:c>
      <x:c r="T46" s="47" t="n">
        <x:v>960000</x:v>
      </x:c>
      <x:c r="U46" s="47" t="n">
        <x:v>797000</x:v>
      </x:c>
      <x:c r="V46" s="47" t="n">
        <x:v>774000</x:v>
      </x:c>
      <x:c r="W46" s="47" t="n">
        <x:v>640000</x:v>
      </x:c>
      <x:c r="X46" s="47" t="n">
        <x:v>163000</x:v>
      </x:c>
      <x:c r="Y46" s="47" t="n">
        <x:v>608000</x:v>
      </x:c>
      <x:c r="Z46" s="47" t="n">
        <x:v>635000</x:v>
      </x:c>
      <x:c r="AA46" s="47" t="n">
        <x:v>666000</x:v>
      </x:c>
      <x:c r="AB46" s="46" t="n">
        <x:v>0.30625</x:v>
      </x:c>
      <x:c r="AC46" s="46" t="n">
        <x:v>0.20326223337515684</x:v>
      </x:c>
      <x:c r="AD46" s="48" t="n">
        <x:v>8600</x:v>
      </x:c>
      <x:c r="AE46" s="48" t="n">
        <x:v>7680</x:v>
      </x:c>
      <x:c r="AF46" s="46" t="n">
        <x:v>-0.0060300619741036066</x:v>
      </x:c>
      <x:c r="AG46" s="48" t="n">
        <x:v>0</x:v>
      </x:c>
      <x:c r="AH46" s="49" t="n">
        <x:v>9</x:v>
      </x:c>
      <x:c r="AI46" s="46" t="n">
        <x:v>0.838790132929571</x:v>
      </x:c>
      <x:c r="AJ46" s="50" t="str">
        <x:v>Cliente avaliando ampliação de escopo.</x:v>
      </x:c>
      <x:c r="AK46" s="45" t="n">
        <x:v>46258</x:v>
      </x:c>
    </x:row>
    <x:row r="47">
      <x:c r="A47" s="39" t="str">
        <x:v>ARQ-046</x:v>
      </x:c>
      <x:c r="B47" s="39" t="str">
        <x:v>Fenix Park</x:v>
      </x:c>
      <x:c r="C47" s="39" t="str">
        <x:v>Matriz Participações</x:v>
      </x:c>
      <x:c r="D47" s="39" t="str">
        <x:v>Residencial</x:v>
      </x:c>
      <x:c r="E47" s="39" t="str">
        <x:v>Salvador</x:v>
      </x:c>
      <x:c r="F47" s="39" t="str">
        <x:v>BA</x:v>
      </x:c>
      <x:c r="G47" s="39" t="str">
        <x:v>Marina Costa</x:v>
      </x:c>
      <x:c r="H47" s="39" t="str">
        <x:v>Elisa Moura</x:v>
      </x:c>
      <x:c r="I47" s="39" t="str">
        <x:v>Acompanhamento de obra</x:v>
      </x:c>
      <x:c r="J47" s="39" t="str">
        <x:v>Concluido</x:v>
      </x:c>
      <x:c r="K47" s="39" t="str">
        <x:v>Medio</x:v>
      </x:c>
      <x:c r="L47" s="45" t="n">
        <x:v>45718</x:v>
      </x:c>
      <x:c r="M47" s="39"/>
      <x:c r="N47" s="45" t="n">
        <x:v>45962</x:v>
      </x:c>
      <x:c r="O47" s="45" t="n">
        <x:v>45955</x:v>
      </x:c>
      <x:c r="P47" s="48" t="n">
        <x:v>-7</x:v>
      </x:c>
      <x:c r="Q47" s="46" t="n">
        <x:v>1</x:v>
      </x:c>
      <x:c r="R47" s="46" t="n">
        <x:v>1</x:v>
      </x:c>
      <x:c r="S47" s="46" t="n">
        <x:v>0</x:v>
      </x:c>
      <x:c r="T47" s="47" t="n">
        <x:v>2035000</x:v>
      </x:c>
      <x:c r="U47" s="47" t="n">
        <x:v>2147000</x:v>
      </x:c>
      <x:c r="V47" s="47" t="n">
        <x:v>2035000</x:v>
      </x:c>
      <x:c r="W47" s="47" t="n">
        <x:v>1816000</x:v>
      </x:c>
      <x:c r="X47" s="47" t="n">
        <x:v>0</x:v>
      </x:c>
      <x:c r="Y47" s="47" t="n">
        <x:v>1376000</x:v>
      </x:c>
      <x:c r="Z47" s="47" t="n">
        <x:v>1453000</x:v>
      </x:c>
      <x:c r="AA47" s="47" t="n">
        <x:v>1524000</x:v>
      </x:c>
      <x:c r="AB47" s="46" t="n">
        <x:v>0.2511056511056511</x:v>
      </x:c>
      <x:c r="AC47" s="46" t="n">
        <x:v>0.3232417326502096</x:v>
      </x:c>
      <x:c r="AD47" s="48" t="n">
        <x:v>8500</x:v>
      </x:c>
      <x:c r="AE47" s="48" t="n">
        <x:v>9530</x:v>
      </x:c>
      <x:c r="AF47" s="46" t="n">
        <x:v>0.12117647058823522</x:v>
      </x:c>
      <x:c r="AG47" s="48" t="n">
        <x:v>5</x:v>
      </x:c>
      <x:c r="AH47" s="49" t="n">
        <x:v>9.1</x:v>
      </x:c>
      <x:c r="AI47" s="46" t="n">
        <x:v>0.8850618253601714</x:v>
      </x:c>
      <x:c r="AJ47" s="50" t="str">
        <x:v>Projeto com potencial de expansão para nova unidade.</x:v>
      </x:c>
      <x:c r="AK47" s="45" t="n">
        <x:v>46251</x:v>
      </x:c>
    </x:row>
    <x:row r="48">
      <x:c r="A48" s="39" t="str">
        <x:v>ARQ-047</x:v>
      </x:c>
      <x:c r="B48" s="39" t="str">
        <x:v>Vértice Hotel</x:v>
      </x:c>
      <x:c r="C48" s="39" t="str">
        <x:v>Nova Era Saúde</x:v>
      </x:c>
      <x:c r="D48" s="39" t="str">
        <x:v>Educacional</x:v>
      </x:c>
      <x:c r="E48" s="39" t="str">
        <x:v>Salvador</x:v>
      </x:c>
      <x:c r="F48" s="39" t="str">
        <x:v>BA</x:v>
      </x:c>
      <x:c r="G48" s="39" t="str">
        <x:v>Caio Martins</x:v>
      </x:c>
      <x:c r="H48" s="39" t="str">
        <x:v>Isabela Melo</x:v>
      </x:c>
      <x:c r="I48" s="39" t="str">
        <x:v>Acompanhamento de obra</x:v>
      </x:c>
      <x:c r="J48" s="39" t="str">
        <x:v>Concluido</x:v>
      </x:c>
      <x:c r="K48" s="39" t="str">
        <x:v>Medio</x:v>
      </x:c>
      <x:c r="L48" s="45" t="n">
        <x:v>45715</x:v>
      </x:c>
      <x:c r="M48" s="39"/>
      <x:c r="N48" s="45" t="n">
        <x:v>46111</x:v>
      </x:c>
      <x:c r="O48" s="45" t="n">
        <x:v>46144</x:v>
      </x:c>
      <x:c r="P48" s="48" t="n">
        <x:v>33</x:v>
      </x:c>
      <x:c r="Q48" s="46" t="n">
        <x:v>1</x:v>
      </x:c>
      <x:c r="R48" s="46" t="n">
        <x:v>1</x:v>
      </x:c>
      <x:c r="S48" s="46" t="n">
        <x:v>0</x:v>
      </x:c>
      <x:c r="T48" s="47" t="n">
        <x:v>925000</x:v>
      </x:c>
      <x:c r="U48" s="47" t="n">
        <x:v>864000</x:v>
      </x:c>
      <x:c r="V48" s="47" t="n">
        <x:v>871000</x:v>
      </x:c>
      <x:c r="W48" s="47" t="n">
        <x:v>697000</x:v>
      </x:c>
      <x:c r="X48" s="47" t="n">
        <x:v>61000</x:v>
      </x:c>
      <x:c r="Y48" s="47" t="n">
        <x:v>543000</x:v>
      </x:c>
      <x:c r="Z48" s="47" t="n">
        <x:v>592000</x:v>
      </x:c>
      <x:c r="AA48" s="47" t="n">
        <x:v>592000</x:v>
      </x:c>
      <x:c r="AB48" s="46" t="n">
        <x:v>0.36</x:v>
      </x:c>
      <x:c r="AC48" s="46" t="n">
        <x:v>0.3148148148148148</x:v>
      </x:c>
      <x:c r="AD48" s="48" t="n">
        <x:v>10750</x:v>
      </x:c>
      <x:c r="AE48" s="48" t="n">
        <x:v>12420</x:v>
      </x:c>
      <x:c r="AF48" s="46" t="n">
        <x:v>0.15534883720930237</x:v>
      </x:c>
      <x:c r="AG48" s="48" t="n">
        <x:v>3</x:v>
      </x:c>
      <x:c r="AH48" s="49" t="n">
        <x:v>7.9</x:v>
      </x:c>
      <x:c r="AI48" s="46" t="n">
        <x:v>0.6703578987577931</x:v>
      </x:c>
      <x:c r="AJ48" s="50" t="str">
        <x:v>Cliente avaliando ampliação de escopo.</x:v>
      </x:c>
      <x:c r="AK48" s="45" t="n">
        <x:v>46247</x:v>
      </x:c>
    </x:row>
    <x:row r="49">
      <x:c r="A49" s="39" t="str">
        <x:v>ARQ-048</x:v>
      </x:c>
      <x:c r="B49" s="39" t="str">
        <x:v>Urbano Tower</x:v>
      </x:c>
      <x:c r="C49" s="39" t="str">
        <x:v>Instituto Veredas</x:v>
      </x:c>
      <x:c r="D49" s="39" t="str">
        <x:v>Residencial</x:v>
      </x:c>
      <x:c r="E49" s="39" t="str">
        <x:v>João Pessoa</x:v>
      </x:c>
      <x:c r="F49" s="39" t="str">
        <x:v>PB</x:v>
      </x:c>
      <x:c r="G49" s="39" t="str">
        <x:v>Rafael Nunes</x:v>
      </x:c>
      <x:c r="H49" s="39" t="str">
        <x:v>Gabriela Lopes</x:v>
      </x:c>
      <x:c r="I49" s="39" t="str">
        <x:v>Estudo preliminar</x:v>
      </x:c>
      <x:c r="J49" s="39" t="str">
        <x:v>Cancelado</x:v>
      </x:c>
      <x:c r="K49" s="39" t="str">
        <x:v>Alto</x:v>
      </x:c>
      <x:c r="L49" s="45" t="n">
        <x:v>46224</x:v>
      </x:c>
      <x:c r="M49" s="39"/>
      <x:c r="N49" s="45" t="n">
        <x:v>46863</x:v>
      </x:c>
      <x:c r="O49" s="45" t="n">
        <x:v>46977</x:v>
      </x:c>
      <x:c r="P49" s="48" t="n">
        <x:v>114</x:v>
      </x:c>
      <x:c r="Q49" s="46" t="n">
        <x:v>0.06416275430359937</x:v>
      </x:c>
      <x:c r="R49" s="46" t="n">
        <x:v>0.02</x:v>
      </x:c>
      <x:c r="S49" s="46" t="n">
        <x:v>-0.044162754303599366</x:v>
      </x:c>
      <x:c r="T49" s="47" t="n">
        <x:v>1140000</x:v>
      </x:c>
      <x:c r="U49" s="47" t="n">
        <x:v>24000</x:v>
      </x:c>
      <x:c r="V49" s="47" t="n">
        <x:v>25000</x:v>
      </x:c>
      <x:c r="W49" s="47" t="n">
        <x:v>20000</x:v>
      </x:c>
      <x:c r="X49" s="47" t="n">
        <x:v>1116000</x:v>
      </x:c>
      <x:c r="Y49" s="47" t="n">
        <x:v>721000</x:v>
      </x:c>
      <x:c r="Z49" s="47" t="n">
        <x:v>14000</x:v>
      </x:c>
      <x:c r="AA49" s="47" t="n">
        <x:v>718000</x:v>
      </x:c>
      <x:c r="AB49" s="46" t="n">
        <x:v>0.3701754385964912</x:v>
      </x:c>
      <x:c r="AC49" s="46" t="n">
        <x:v>0.4166666666666667</x:v>
      </x:c>
      <x:c r="AD49" s="48" t="n">
        <x:v>8150</x:v>
      </x:c>
      <x:c r="AE49" s="48" t="n">
        <x:v>190</x:v>
      </x:c>
      <x:c r="AF49" s="46" t="n">
        <x:v>0.0033128834355828224</x:v>
      </x:c>
      <x:c r="AG49" s="48" t="n">
        <x:v>2</x:v>
      </x:c>
      <x:c r="AH49" s="49" t="n">
        <x:v>7.6</x:v>
      </x:c>
      <x:c r="AI49" s="46" t="n">
        <x:v>0.7360785705363379</x:v>
      </x:c>
      <x:c r="AJ49" s="50" t="str">
        <x:v>Compatibilização BIM reduziu interferências críticas.</x:v>
      </x:c>
      <x:c r="AK49" s="45" t="n">
        <x:v>46254</x:v>
      </x:c>
    </x:row>
    <x:row r="50">
      <x:c r="A50" s="39" t="str">
        <x:v>ARQ-049</x:v>
      </x:c>
      <x:c r="B50" s="39" t="str">
        <x:v>Sereno Living</x:v>
      </x:c>
      <x:c r="C50" s="39" t="str">
        <x:v>Logis Brasil</x:v>
      </x:c>
      <x:c r="D50" s="39" t="str">
        <x:v>Hospitalar</x:v>
      </x:c>
      <x:c r="E50" s="39" t="str">
        <x:v>Recife</x:v>
      </x:c>
      <x:c r="F50" s="39" t="str">
        <x:v>PE</x:v>
      </x:c>
      <x:c r="G50" s="39" t="str">
        <x:v>Marina Costa</x:v>
      </x:c>
      <x:c r="H50" s="39" t="str">
        <x:v>João Brito</x:v>
      </x:c>
      <x:c r="I50" s="39" t="str">
        <x:v>Acompanhamento de obra</x:v>
      </x:c>
      <x:c r="J50" s="39" t="str">
        <x:v>Concluido</x:v>
      </x:c>
      <x:c r="K50" s="39" t="str">
        <x:v>Alto</x:v>
      </x:c>
      <x:c r="L50" s="45" t="n">
        <x:v>45731</x:v>
      </x:c>
      <x:c r="M50" s="39"/>
      <x:c r="N50" s="45" t="n">
        <x:v>46005</x:v>
      </x:c>
      <x:c r="O50" s="45" t="n">
        <x:v>46016</x:v>
      </x:c>
      <x:c r="P50" s="48" t="n">
        <x:v>11</x:v>
      </x:c>
      <x:c r="Q50" s="46" t="n">
        <x:v>1</x:v>
      </x:c>
      <x:c r="R50" s="46" t="n">
        <x:v>1</x:v>
      </x:c>
      <x:c r="S50" s="46" t="n">
        <x:v>0</x:v>
      </x:c>
      <x:c r="T50" s="47" t="n">
        <x:v>2975000</x:v>
      </x:c>
      <x:c r="U50" s="47" t="n">
        <x:v>2861000</x:v>
      </x:c>
      <x:c r="V50" s="47" t="n">
        <x:v>2843000</x:v>
      </x:c>
      <x:c r="W50" s="47" t="n">
        <x:v>2450000</x:v>
      </x:c>
      <x:c r="X50" s="47" t="n">
        <x:v>114000</x:v>
      </x:c>
      <x:c r="Y50" s="47" t="n">
        <x:v>1988000</x:v>
      </x:c>
      <x:c r="Z50" s="47" t="n">
        <x:v>2254000</x:v>
      </x:c>
      <x:c r="AA50" s="47" t="n">
        <x:v>2254000</x:v>
      </x:c>
      <x:c r="AB50" s="46" t="n">
        <x:v>0.24235294117647058</x:v>
      </x:c>
      <x:c r="AC50" s="46" t="n">
        <x:v>0.21216357916812303</x:v>
      </x:c>
      <x:c r="AD50" s="48" t="n">
        <x:v>16250</x:v>
      </x:c>
      <x:c r="AE50" s="48" t="n">
        <x:v>18230</x:v>
      </x:c>
      <x:c r="AF50" s="46" t="n">
        <x:v>0.12184615384615394</x:v>
      </x:c>
      <x:c r="AG50" s="48" t="n">
        <x:v>3</x:v>
      </x:c>
      <x:c r="AH50" s="49" t="n">
        <x:v>7.3</x:v>
      </x:c>
      <x:c r="AI50" s="46" t="n">
        <x:v>0.6656546548428014</x:v>
      </x:c>
      <x:c r="AJ50" s="50" t="str">
        <x:v>Entrega parcial aceita pelo cliente.</x:v>
      </x:c>
      <x:c r="AK50" s="45" t="n">
        <x:v>46250</x:v>
      </x:c>
    </x:row>
    <x:row r="51">
      <x:c r="A51" s="39" t="str">
        <x:v>ARQ-050</x:v>
      </x:c>
      <x:c r="B51" s="39" t="str">
        <x:v>Mosaico Residence</x:v>
      </x:c>
      <x:c r="C51" s="39" t="str">
        <x:v>Rede Pátio</x:v>
      </x:c>
      <x:c r="D51" s="39" t="str">
        <x:v>Hospitalar</x:v>
      </x:c>
      <x:c r="E51" s="39" t="str">
        <x:v>João Pessoa</x:v>
      </x:c>
      <x:c r="F51" s="39" t="str">
        <x:v>PB</x:v>
      </x:c>
      <x:c r="G51" s="39" t="str">
        <x:v>Marina Costa</x:v>
      </x:c>
      <x:c r="H51" s="39" t="str">
        <x:v>Felipe Andrade</x:v>
      </x:c>
      <x:c r="I51" s="39" t="str">
        <x:v>Acompanhamento de obra</x:v>
      </x:c>
      <x:c r="J51" s="39" t="str">
        <x:v>Concluido</x:v>
      </x:c>
      <x:c r="K51" s="39" t="str">
        <x:v>Baixo</x:v>
      </x:c>
      <x:c r="L51" s="45" t="n">
        <x:v>45724</x:v>
      </x:c>
      <x:c r="M51" s="39"/>
      <x:c r="N51" s="45" t="n">
        <x:v>46181</x:v>
      </x:c>
      <x:c r="O51" s="45" t="n">
        <x:v>46169</x:v>
      </x:c>
      <x:c r="P51" s="48" t="n">
        <x:v>-12</x:v>
      </x:c>
      <x:c r="Q51" s="46" t="n">
        <x:v>1</x:v>
      </x:c>
      <x:c r="R51" s="46" t="n">
        <x:v>1</x:v>
      </x:c>
      <x:c r="S51" s="46" t="n">
        <x:v>0</x:v>
      </x:c>
      <x:c r="T51" s="47" t="n">
        <x:v>3435000</x:v>
      </x:c>
      <x:c r="U51" s="47" t="n">
        <x:v>3599000</x:v>
      </x:c>
      <x:c r="V51" s="47" t="n">
        <x:v>3435000</x:v>
      </x:c>
      <x:c r="W51" s="47" t="n">
        <x:v>2741000</x:v>
      </x:c>
      <x:c r="X51" s="47" t="n">
        <x:v>0</x:v>
      </x:c>
      <x:c r="Y51" s="47" t="n">
        <x:v>2317000</x:v>
      </x:c>
      <x:c r="Z51" s="47" t="n">
        <x:v>2420000</x:v>
      </x:c>
      <x:c r="AA51" s="47" t="n">
        <x:v>2420000</x:v>
      </x:c>
      <x:c r="AB51" s="46" t="n">
        <x:v>0.2954876273653566</x:v>
      </x:c>
      <x:c r="AC51" s="46" t="n">
        <x:v>0.32759099749930537</x:v>
      </x:c>
      <x:c r="AD51" s="48" t="n">
        <x:v>25000</x:v>
      </x:c>
      <x:c r="AE51" s="48" t="n">
        <x:v>28710</x:v>
      </x:c>
      <x:c r="AF51" s="46" t="n">
        <x:v>0.1484000000000001</x:v>
      </x:c>
      <x:c r="AG51" s="48" t="n">
        <x:v>1</x:v>
      </x:c>
      <x:c r="AH51" s="49" t="n">
        <x:v>8.2</x:v>
      </x:c>
      <x:c r="AI51" s="46" t="n">
        <x:v>0.7449231957970187</x:v>
      </x:c>
      <x:c r="AJ51" s="50" t="str">
        <x:v>Equipe reforçada para recuperar o cronograma.</x:v>
      </x:c>
      <x:c r="AK51" s="45" t="n">
        <x:v>46255</x:v>
      </x:c>
    </x:row>
    <x:row r="52">
      <x:c r="A52" s="39" t="str">
        <x:v>ARQ-051</x:v>
      </x:c>
      <x:c r="B52" s="39" t="str">
        <x:v>Fenix Village</x:v>
      </x:c>
      <x:c r="C52" s="39" t="str">
        <x:v>Matriz Participações</x:v>
      </x:c>
      <x:c r="D52" s="39" t="str">
        <x:v>Corporativo</x:v>
      </x:c>
      <x:c r="E52" s="39" t="str">
        <x:v>Eusébio</x:v>
      </x:c>
      <x:c r="F52" s="39" t="str">
        <x:v>CE</x:v>
      </x:c>
      <x:c r="G52" s="39" t="str">
        <x:v>Helena Prado</x:v>
      </x:c>
      <x:c r="H52" s="39" t="str">
        <x:v>Gabriela Lopes</x:v>
      </x:c>
      <x:c r="I52" s="39" t="str">
        <x:v>Acompanhamento de obra</x:v>
      </x:c>
      <x:c r="J52" s="39" t="str">
        <x:v>Concluido</x:v>
      </x:c>
      <x:c r="K52" s="39" t="str">
        <x:v>Alto</x:v>
      </x:c>
      <x:c r="L52" s="45" t="n">
        <x:v>45687</x:v>
      </x:c>
      <x:c r="M52" s="39"/>
      <x:c r="N52" s="45" t="n">
        <x:v>45991</x:v>
      </x:c>
      <x:c r="O52" s="45" t="n">
        <x:v>45991</x:v>
      </x:c>
      <x:c r="P52" s="48" t="n">
        <x:v>0</x:v>
      </x:c>
      <x:c r="Q52" s="46" t="n">
        <x:v>1</x:v>
      </x:c>
      <x:c r="R52" s="46" t="n">
        <x:v>1</x:v>
      </x:c>
      <x:c r="S52" s="46" t="n">
        <x:v>0</x:v>
      </x:c>
      <x:c r="T52" s="47" t="n">
        <x:v>2415000</x:v>
      </x:c>
      <x:c r="U52" s="47" t="n">
        <x:v>2461000</x:v>
      </x:c>
      <x:c r="V52" s="47" t="n">
        <x:v>2316000</x:v>
      </x:c>
      <x:c r="W52" s="47" t="n">
        <x:v>2031000</x:v>
      </x:c>
      <x:c r="X52" s="47" t="n">
        <x:v>0</x:v>
      </x:c>
      <x:c r="Y52" s="47" t="n">
        <x:v>1403000</x:v>
      </x:c>
      <x:c r="Z52" s="47" t="n">
        <x:v>1629000</x:v>
      </x:c>
      <x:c r="AA52" s="47" t="n">
        <x:v>1629000</x:v>
      </x:c>
      <x:c r="AB52" s="46" t="n">
        <x:v>0.32546583850931676</x:v>
      </x:c>
      <x:c r="AC52" s="46" t="n">
        <x:v>0.3380739536773669</x:v>
      </x:c>
      <x:c r="AD52" s="48" t="n">
        <x:v>18050</x:v>
      </x:c>
      <x:c r="AE52" s="48" t="n">
        <x:v>17190</x:v>
      </x:c>
      <x:c r="AF52" s="46" t="n">
        <x:v>-0.04764542936288085</x:v>
      </x:c>
      <x:c r="AG52" s="48" t="n">
        <x:v>1</x:v>
      </x:c>
      <x:c r="AH52" s="49" t="n">
        <x:v>7.4</x:v>
      </x:c>
      <x:c r="AI52" s="46" t="n">
        <x:v>0.7385550416493788</x:v>
      </x:c>
      <x:c r="AJ52" s="50" t="str">
        <x:v>Sem ocorrências relevantes no período.</x:v>
      </x:c>
      <x:c r="AK52" s="45" t="n">
        <x:v>46257</x:v>
      </x:c>
    </x:row>
    <x:row r="53">
      <x:c r="A53" s="39" t="str">
        <x:v>ARQ-052</x:v>
      </x:c>
      <x:c r="B53" s="39" t="str">
        <x:v>Icaro Residence</x:v>
      </x:c>
      <x:c r="C53" s="39" t="str">
        <x:v>Nexo Empreendimentos</x:v>
      </x:c>
      <x:c r="D53" s="39" t="str">
        <x:v>Residencial</x:v>
      </x:c>
      <x:c r="E53" s="39" t="str">
        <x:v>São Paulo</x:v>
      </x:c>
      <x:c r="F53" s="39" t="str">
        <x:v>SP</x:v>
      </x:c>
      <x:c r="G53" s="39" t="str">
        <x:v>Rafael Nunes</x:v>
      </x:c>
      <x:c r="H53" s="39" t="str">
        <x:v>Isabela Melo</x:v>
      </x:c>
      <x:c r="I53" s="39" t="str">
        <x:v>Acompanhamento de obra</x:v>
      </x:c>
      <x:c r="J53" s="39" t="str">
        <x:v>Concluido</x:v>
      </x:c>
      <x:c r="K53" s="39" t="str">
        <x:v>Medio</x:v>
      </x:c>
      <x:c r="L53" s="45" t="n">
        <x:v>45492</x:v>
      </x:c>
      <x:c r="M53" s="39"/>
      <x:c r="N53" s="45" t="n">
        <x:v>46192</x:v>
      </x:c>
      <x:c r="O53" s="45" t="n">
        <x:v>46220</x:v>
      </x:c>
      <x:c r="P53" s="48" t="n">
        <x:v>28</x:v>
      </x:c>
      <x:c r="Q53" s="46" t="n">
        <x:v>1</x:v>
      </x:c>
      <x:c r="R53" s="46" t="n">
        <x:v>1</x:v>
      </x:c>
      <x:c r="S53" s="46" t="n">
        <x:v>0</x:v>
      </x:c>
      <x:c r="T53" s="47" t="n">
        <x:v>1100000</x:v>
      </x:c>
      <x:c r="U53" s="47" t="n">
        <x:v>1073000</x:v>
      </x:c>
      <x:c r="V53" s="47" t="n">
        <x:v>996000</x:v>
      </x:c>
      <x:c r="W53" s="47" t="n">
        <x:v>897000</x:v>
      </x:c>
      <x:c r="X53" s="47" t="n">
        <x:v>27000</x:v>
      </x:c>
      <x:c r="Y53" s="47" t="n">
        <x:v>654000</x:v>
      </x:c>
      <x:c r="Z53" s="47" t="n">
        <x:v>590000</x:v>
      </x:c>
      <x:c r="AA53" s="47" t="n">
        <x:v>701000</x:v>
      </x:c>
      <x:c r="AB53" s="46" t="n">
        <x:v>0.36272727272727273</x:v>
      </x:c>
      <x:c r="AC53" s="46" t="n">
        <x:v>0.45013979496738116</x:v>
      </x:c>
      <x:c r="AD53" s="48" t="n">
        <x:v>11700</x:v>
      </x:c>
      <x:c r="AE53" s="48" t="n">
        <x:v>12920</x:v>
      </x:c>
      <x:c r="AF53" s="46" t="n">
        <x:v>0.10427350427350435</x:v>
      </x:c>
      <x:c r="AG53" s="48" t="n">
        <x:v>3</x:v>
      </x:c>
      <x:c r="AH53" s="49" t="n">
        <x:v>9.1</x:v>
      </x:c>
      <x:c r="AI53" s="46" t="n">
        <x:v>0.8153248872002586</x:v>
      </x:c>
      <x:c r="AJ53" s="50" t="str">
        <x:v>Aprovação municipal é o principal ponto de atenção.</x:v>
      </x:c>
      <x:c r="AK53" s="45" t="n">
        <x:v>46246</x:v>
      </x:c>
    </x:row>
    <x:row r="54">
      <x:c r="A54" s="39" t="str">
        <x:v>ARQ-053</x:v>
      </x:c>
      <x:c r="B54" s="39" t="str">
        <x:v>Terracota Corporate</x:v>
      </x:c>
      <x:c r="C54" s="39" t="str">
        <x:v>Logis Brasil</x:v>
      </x:c>
      <x:c r="D54" s="39" t="str">
        <x:v>Educacional</x:v>
      </x:c>
      <x:c r="E54" s="39" t="str">
        <x:v>Natal</x:v>
      </x:c>
      <x:c r="F54" s="39" t="str">
        <x:v>RN</x:v>
      </x:c>
      <x:c r="G54" s="39" t="str">
        <x:v>Marina Costa</x:v>
      </x:c>
      <x:c r="H54" s="39" t="str">
        <x:v>Gabriela Lopes</x:v>
      </x:c>
      <x:c r="I54" s="39" t="str">
        <x:v>Acompanhamento de obra</x:v>
      </x:c>
      <x:c r="J54" s="39" t="str">
        <x:v>Em espera</x:v>
      </x:c>
      <x:c r="K54" s="39" t="str">
        <x:v>Alto</x:v>
      </x:c>
      <x:c r="L54" s="45" t="n">
        <x:v>45343</x:v>
      </x:c>
      <x:c r="M54" s="39"/>
      <x:c r="N54" s="45" t="n">
        <x:v>45860</x:v>
      </x:c>
      <x:c r="O54" s="45" t="n">
        <x:v>45854</x:v>
      </x:c>
      <x:c r="P54" s="48" t="n">
        <x:v>-6</x:v>
      </x:c>
      <x:c r="Q54" s="46" t="n">
        <x:v>1</x:v>
      </x:c>
      <x:c r="R54" s="46" t="n">
        <x:v>0.8698260601982475</x:v>
      </x:c>
      <x:c r="S54" s="46" t="n">
        <x:v>-0.13017393980175251</x:v>
      </x:c>
      <x:c r="T54" s="47" t="n">
        <x:v>700000</x:v>
      </x:c>
      <x:c r="U54" s="47" t="n">
        <x:v>620000</x:v>
      </x:c>
      <x:c r="V54" s="47" t="n">
        <x:v>598000</x:v>
      </x:c>
      <x:c r="W54" s="47" t="n">
        <x:v>525000</x:v>
      </x:c>
      <x:c r="X54" s="47" t="n">
        <x:v>80000</x:v>
      </x:c>
      <x:c r="Y54" s="47" t="n">
        <x:v>418000</x:v>
      </x:c>
      <x:c r="Z54" s="47" t="n">
        <x:v>420000</x:v>
      </x:c>
      <x:c r="AA54" s="47" t="n">
        <x:v>476000</x:v>
      </x:c>
      <x:c r="AB54" s="46" t="n">
        <x:v>0.32</x:v>
      </x:c>
      <x:c r="AC54" s="46" t="n">
        <x:v>0.3225806451612903</x:v>
      </x:c>
      <x:c r="AD54" s="48" t="n">
        <x:v>13950</x:v>
      </x:c>
      <x:c r="AE54" s="48" t="n">
        <x:v>12610</x:v>
      </x:c>
      <x:c r="AF54" s="46" t="n">
        <x:v>0.034116592131501644</x:v>
      </x:c>
      <x:c r="AG54" s="48" t="n">
        <x:v>4</x:v>
      </x:c>
      <x:c r="AH54" s="49" t="n">
        <x:v>8.5</x:v>
      </x:c>
      <x:c r="AI54" s="46" t="n">
        <x:v>0.765206474843435</x:v>
      </x:c>
      <x:c r="AJ54" s="50" t="str">
        <x:v>Aprovação municipal é o principal ponto de atenção.</x:v>
      </x:c>
      <x:c r="AK54" s="45" t="n">
        <x:v>46254</x:v>
      </x:c>
    </x:row>
    <x:row r="55">
      <x:c r="A55" s="39" t="str">
        <x:v>ARQ-054</x:v>
      </x:c>
      <x:c r="B55" s="39" t="str">
        <x:v>Aurora Living</x:v>
      </x:c>
      <x:c r="C55" s="39" t="str">
        <x:v>Viva Incorporadora</x:v>
      </x:c>
      <x:c r="D55" s="39" t="str">
        <x:v>Residencial</x:v>
      </x:c>
      <x:c r="E55" s="39" t="str">
        <x:v>Recife</x:v>
      </x:c>
      <x:c r="F55" s="39" t="str">
        <x:v>PE</x:v>
      </x:c>
      <x:c r="G55" s="39" t="str">
        <x:v>Marina Costa</x:v>
      </x:c>
      <x:c r="H55" s="39" t="str">
        <x:v>Elisa Moura</x:v>
      </x:c>
      <x:c r="I55" s="39" t="str">
        <x:v>Acompanhamento de obra</x:v>
      </x:c>
      <x:c r="J55" s="39" t="str">
        <x:v>Concluido</x:v>
      </x:c>
      <x:c r="K55" s="39" t="str">
        <x:v>Baixo</x:v>
      </x:c>
      <x:c r="L55" s="45" t="n">
        <x:v>45942</x:v>
      </x:c>
      <x:c r="M55" s="39"/>
      <x:c r="N55" s="45" t="n">
        <x:v>46216</x:v>
      </x:c>
      <x:c r="O55" s="45" t="n">
        <x:v>46206</x:v>
      </x:c>
      <x:c r="P55" s="48" t="n">
        <x:v>-10</x:v>
      </x:c>
      <x:c r="Q55" s="46" t="n">
        <x:v>1</x:v>
      </x:c>
      <x:c r="R55" s="46" t="n">
        <x:v>1</x:v>
      </x:c>
      <x:c r="S55" s="46" t="n">
        <x:v>0</x:v>
      </x:c>
      <x:c r="T55" s="47" t="n">
        <x:v>485000</x:v>
      </x:c>
      <x:c r="U55" s="47" t="n">
        <x:v>466000</x:v>
      </x:c>
      <x:c r="V55" s="47" t="n">
        <x:v>485000</x:v>
      </x:c>
      <x:c r="W55" s="47" t="n">
        <x:v>389000</x:v>
      </x:c>
      <x:c r="X55" s="47" t="n">
        <x:v>19000</x:v>
      </x:c>
      <x:c r="Y55" s="47" t="n">
        <x:v>300000</x:v>
      </x:c>
      <x:c r="Z55" s="47" t="n">
        <x:v>313000</x:v>
      </x:c>
      <x:c r="AA55" s="47" t="n">
        <x:v>313000</x:v>
      </x:c>
      <x:c r="AB55" s="46" t="n">
        <x:v>0.354639175257732</x:v>
      </x:c>
      <x:c r="AC55" s="46" t="n">
        <x:v>0.3283261802575107</x:v>
      </x:c>
      <x:c r="AD55" s="48" t="n">
        <x:v>14300</x:v>
      </x:c>
      <x:c r="AE55" s="48" t="n">
        <x:v>15930</x:v>
      </x:c>
      <x:c r="AF55" s="46" t="n">
        <x:v>0.11398601398601405</x:v>
      </x:c>
      <x:c r="AG55" s="48" t="n">
        <x:v>2</x:v>
      </x:c>
      <x:c r="AH55" s="49" t="n">
        <x:v>7.2</x:v>
      </x:c>
      <x:c r="AI55" s="46" t="n">
        <x:v>0.6968630674714222</x:v>
      </x:c>
      <x:c r="AJ55" s="50" t="str">
        <x:v>Cronograma depende da contratação de consultoria especializada.</x:v>
      </x:c>
      <x:c r="AK55" s="45" t="n">
        <x:v>46261</x:v>
      </x:c>
    </x:row>
    <x:row r="56">
      <x:c r="A56" s="39" t="str">
        <x:v>ARQ-055</x:v>
      </x:c>
      <x:c r="B56" s="39" t="str">
        <x:v>Orbe Hotel</x:v>
      </x:c>
      <x:c r="C56" s="39" t="str">
        <x:v>Logis Brasil</x:v>
      </x:c>
      <x:c r="D56" s="39" t="str">
        <x:v>Industrial</x:v>
      </x:c>
      <x:c r="E56" s="39" t="str">
        <x:v>Recife</x:v>
      </x:c>
      <x:c r="F56" s="39" t="str">
        <x:v>PE</x:v>
      </x:c>
      <x:c r="G56" s="39" t="str">
        <x:v>Rafael Nunes</x:v>
      </x:c>
      <x:c r="H56" s="39" t="str">
        <x:v>Daniel Freitas</x:v>
      </x:c>
      <x:c r="I56" s="39" t="str">
        <x:v>Acompanhamento de obra</x:v>
      </x:c>
      <x:c r="J56" s="39" t="str">
        <x:v>Concluido</x:v>
      </x:c>
      <x:c r="K56" s="39" t="str">
        <x:v>Baixo</x:v>
      </x:c>
      <x:c r="L56" s="45" t="n">
        <x:v>46019</x:v>
      </x:c>
      <x:c r="M56" s="39"/>
      <x:c r="N56" s="45" t="n">
        <x:v>46232</x:v>
      </x:c>
      <x:c r="O56" s="45" t="n">
        <x:v>46265</x:v>
      </x:c>
      <x:c r="P56" s="48" t="n">
        <x:v>33</x:v>
      </x:c>
      <x:c r="Q56" s="46" t="n">
        <x:v>1</x:v>
      </x:c>
      <x:c r="R56" s="46" t="n">
        <x:v>1</x:v>
      </x:c>
      <x:c r="S56" s="46" t="n">
        <x:v>0</x:v>
      </x:c>
      <x:c r="T56" s="47" t="n">
        <x:v>1535000</x:v>
      </x:c>
      <x:c r="U56" s="47" t="n">
        <x:v>1455000</x:v>
      </x:c>
      <x:c r="V56" s="47" t="n">
        <x:v>1409000</x:v>
      </x:c>
      <x:c r="W56" s="47" t="n">
        <x:v>1143000</x:v>
      </x:c>
      <x:c r="X56" s="47" t="n">
        <x:v>80000</x:v>
      </x:c>
      <x:c r="Y56" s="47" t="n">
        <x:v>974000</x:v>
      </x:c>
      <x:c r="Z56" s="47" t="n">
        <x:v>914000</x:v>
      </x:c>
      <x:c r="AA56" s="47" t="n">
        <x:v>945000</x:v>
      </x:c>
      <x:c r="AB56" s="46" t="n">
        <x:v>0.38436482084690554</x:v>
      </x:c>
      <x:c r="AC56" s="46" t="n">
        <x:v>0.3718213058419244</x:v>
      </x:c>
      <x:c r="AD56" s="48" t="n">
        <x:v>9450</x:v>
      </x:c>
      <x:c r="AE56" s="48" t="n">
        <x:v>10570</x:v>
      </x:c>
      <x:c r="AF56" s="46" t="n">
        <x:v>0.11851851851851847</x:v>
      </x:c>
      <x:c r="AG56" s="48" t="n">
        <x:v>2</x:v>
      </x:c>
      <x:c r="AH56" s="49" t="n">
        <x:v>8.1</x:v>
      </x:c>
      <x:c r="AI56" s="46" t="n">
        <x:v>0.7203612492373213</x:v>
      </x:c>
      <x:c r="AJ56" s="50" t="str">
        <x:v>Equipe reforçada para recuperar o cronograma.</x:v>
      </x:c>
      <x:c r="AK56" s="45" t="n">
        <x:v>46246</x:v>
      </x:c>
    </x:row>
    <x:row r="57">
      <x:c r="A57" s="39" t="str">
        <x:v>ARQ-056</x:v>
      </x:c>
      <x:c r="B57" s="39" t="str">
        <x:v>Icaro Plaza</x:v>
      </x:c>
      <x:c r="C57" s="39" t="str">
        <x:v>Grupo Atlântica</x:v>
      </x:c>
      <x:c r="D57" s="39" t="str">
        <x:v>Industrial</x:v>
      </x:c>
      <x:c r="E57" s="39" t="str">
        <x:v>Eusébio</x:v>
      </x:c>
      <x:c r="F57" s="39" t="str">
        <x:v>CE</x:v>
      </x:c>
      <x:c r="G57" s="39" t="str">
        <x:v>Caio Martins</x:v>
      </x:c>
      <x:c r="H57" s="39" t="str">
        <x:v>Daniel Freitas</x:v>
      </x:c>
      <x:c r="I57" s="39" t="str">
        <x:v>Projeto executivo</x:v>
      </x:c>
      <x:c r="J57" s="39" t="str">
        <x:v>Em andamento</x:v>
      </x:c>
      <x:c r="K57" s="39" t="str">
        <x:v>Alto</x:v>
      </x:c>
      <x:c r="L57" s="45" t="n">
        <x:v>46044</x:v>
      </x:c>
      <x:c r="M57" s="39"/>
      <x:c r="N57" s="45" t="n">
        <x:v>46440</x:v>
      </x:c>
      <x:c r="O57" s="45" t="n">
        <x:v>46551</x:v>
      </x:c>
      <x:c r="P57" s="48" t="n">
        <x:v>111</x:v>
      </x:c>
      <x:c r="Q57" s="46" t="n">
        <x:v>0.5580808080808081</x:v>
      </x:c>
      <x:c r="R57" s="46" t="n">
        <x:v>0.5218415335967026</x:v>
      </x:c>
      <x:c r="S57" s="46" t="n">
        <x:v>-0.036239274484105466</x:v>
      </x:c>
      <x:c r="T57" s="47" t="n">
        <x:v>1880000</x:v>
      </x:c>
      <x:c r="U57" s="47" t="n">
        <x:v>898000</x:v>
      </x:c>
      <x:c r="V57" s="47" t="n">
        <x:v>962000</x:v>
      </x:c>
      <x:c r="W57" s="47" t="n">
        <x:v>796000</x:v>
      </x:c>
      <x:c r="X57" s="47" t="n">
        <x:v>982000</x:v>
      </x:c>
      <x:c r="Y57" s="47" t="n">
        <x:v>1230000</x:v>
      </x:c>
      <x:c r="Z57" s="47" t="n">
        <x:v>659000</x:v>
      </x:c>
      <x:c r="AA57" s="47" t="n">
        <x:v>1171000</x:v>
      </x:c>
      <x:c r="AB57" s="46" t="n">
        <x:v>0.3771276595744681</x:v>
      </x:c>
      <x:c r="AC57" s="46" t="n">
        <x:v>0.2661469933184855</x:v>
      </x:c>
      <x:c r="AD57" s="48" t="n">
        <x:v>9100</x:v>
      </x:c>
      <x:c r="AE57" s="48" t="n">
        <x:v>4770</x:v>
      </x:c>
      <x:c r="AF57" s="46" t="n">
        <x:v>0.0023342905791216007</x:v>
      </x:c>
      <x:c r="AG57" s="48" t="n">
        <x:v>2</x:v>
      </x:c>
      <x:c r="AH57" s="49" t="n">
        <x:v>9.3</x:v>
      </x:c>
      <x:c r="AI57" s="46" t="n">
        <x:v>0.8859804556565359</x:v>
      </x:c>
      <x:c r="AJ57" s="50" t="str">
        <x:v>Compatibilização BIM reduziu interferências críticas.</x:v>
      </x:c>
      <x:c r="AK57" s="45" t="n">
        <x:v>46247</x:v>
      </x:c>
    </x:row>
    <x:row r="58">
      <x:c r="A58" s="39" t="str">
        <x:v>ARQ-057</x:v>
      </x:c>
      <x:c r="B58" s="39" t="str">
        <x:v>Prisma Center</x:v>
      </x:c>
      <x:c r="C58" s="39" t="str">
        <x:v>Nova Era Saúde</x:v>
      </x:c>
      <x:c r="D58" s="39" t="str">
        <x:v>Hotelaria</x:v>
      </x:c>
      <x:c r="E58" s="39" t="str">
        <x:v>Salvador</x:v>
      </x:c>
      <x:c r="F58" s="39" t="str">
        <x:v>BA</x:v>
      </x:c>
      <x:c r="G58" s="39" t="str">
        <x:v>Rafael Nunes</x:v>
      </x:c>
      <x:c r="H58" s="39" t="str">
        <x:v>Isabela Melo</x:v>
      </x:c>
      <x:c r="I58" s="39" t="str">
        <x:v>Acompanhamento de obra</x:v>
      </x:c>
      <x:c r="J58" s="39" t="str">
        <x:v>Concluido</x:v>
      </x:c>
      <x:c r="K58" s="39" t="str">
        <x:v>Medio</x:v>
      </x:c>
      <x:c r="L58" s="45" t="n">
        <x:v>45472</x:v>
      </x:c>
      <x:c r="M58" s="39"/>
      <x:c r="N58" s="45" t="n">
        <x:v>46142</x:v>
      </x:c>
      <x:c r="O58" s="45" t="n">
        <x:v>46167</x:v>
      </x:c>
      <x:c r="P58" s="48" t="n">
        <x:v>25</x:v>
      </x:c>
      <x:c r="Q58" s="46" t="n">
        <x:v>1</x:v>
      </x:c>
      <x:c r="R58" s="46" t="n">
        <x:v>1</x:v>
      </x:c>
      <x:c r="S58" s="46" t="n">
        <x:v>0</x:v>
      </x:c>
      <x:c r="T58" s="47" t="n">
        <x:v>1760000</x:v>
      </x:c>
      <x:c r="U58" s="47" t="n">
        <x:v>1793000</x:v>
      </x:c>
      <x:c r="V58" s="47" t="n">
        <x:v>1760000</x:v>
      </x:c>
      <x:c r="W58" s="47" t="n">
        <x:v>1551000</x:v>
      </x:c>
      <x:c r="X58" s="47" t="n">
        <x:v>0</x:v>
      </x:c>
      <x:c r="Y58" s="47" t="n">
        <x:v>1113000</x:v>
      </x:c>
      <x:c r="Z58" s="47" t="n">
        <x:v>1143000</x:v>
      </x:c>
      <x:c r="AA58" s="47" t="n">
        <x:v>1243000</x:v>
      </x:c>
      <x:c r="AB58" s="46" t="n">
        <x:v>0.29375</x:v>
      </x:c>
      <x:c r="AC58" s="46" t="n">
        <x:v>0.36252091466815395</x:v>
      </x:c>
      <x:c r="AD58" s="48" t="n">
        <x:v>8250</x:v>
      </x:c>
      <x:c r="AE58" s="48" t="n">
        <x:v>9510</x:v>
      </x:c>
      <x:c r="AF58" s="46" t="n">
        <x:v>0.15272727272727282</x:v>
      </x:c>
      <x:c r="AG58" s="48" t="n">
        <x:v>3</x:v>
      </x:c>
      <x:c r="AH58" s="49" t="n">
        <x:v>9.7</x:v>
      </x:c>
      <x:c r="AI58" s="46" t="n">
        <x:v>0.95</x:v>
      </x:c>
      <x:c r="AJ58" s="50" t="str">
        <x:v>Cronograma depende da contratação de consultoria especializada.</x:v>
      </x:c>
      <x:c r="AK58" s="45" t="n">
        <x:v>46247</x:v>
      </x:c>
    </x:row>
    <x:row r="59">
      <x:c r="A59" s="39" t="str">
        <x:v>ARQ-058</x:v>
      </x:c>
      <x:c r="B59" s="39" t="str">
        <x:v>Sereno Corporate</x:v>
      </x:c>
      <x:c r="C59" s="39" t="str">
        <x:v>Nova Era Saúde</x:v>
      </x:c>
      <x:c r="D59" s="39" t="str">
        <x:v>Industrial</x:v>
      </x:c>
      <x:c r="E59" s="39" t="str">
        <x:v>Campinas</x:v>
      </x:c>
      <x:c r="F59" s="39" t="str">
        <x:v>SP</x:v>
      </x:c>
      <x:c r="G59" s="39" t="str">
        <x:v>Helena Prado</x:v>
      </x:c>
      <x:c r="H59" s="39" t="str">
        <x:v>Hugo Tavares</x:v>
      </x:c>
      <x:c r="I59" s="39" t="str">
        <x:v>Acompanhamento de obra</x:v>
      </x:c>
      <x:c r="J59" s="39" t="str">
        <x:v>Concluido</x:v>
      </x:c>
      <x:c r="K59" s="39" t="str">
        <x:v>Medio</x:v>
      </x:c>
      <x:c r="L59" s="45" t="n">
        <x:v>45518</x:v>
      </x:c>
      <x:c r="M59" s="39"/>
      <x:c r="N59" s="45" t="n">
        <x:v>45975</x:v>
      </x:c>
      <x:c r="O59" s="45" t="n">
        <x:v>46012</x:v>
      </x:c>
      <x:c r="P59" s="48" t="n">
        <x:v>37</x:v>
      </x:c>
      <x:c r="Q59" s="46" t="n">
        <x:v>1</x:v>
      </x:c>
      <x:c r="R59" s="46" t="n">
        <x:v>1</x:v>
      </x:c>
      <x:c r="S59" s="46" t="n">
        <x:v>0</x:v>
      </x:c>
      <x:c r="T59" s="47" t="n">
        <x:v>2585000</x:v>
      </x:c>
      <x:c r="U59" s="47" t="n">
        <x:v>2434000</x:v>
      </x:c>
      <x:c r="V59" s="47" t="n">
        <x:v>2551000</x:v>
      </x:c>
      <x:c r="W59" s="47" t="n">
        <x:v>2159000</x:v>
      </x:c>
      <x:c r="X59" s="47" t="n">
        <x:v>151000</x:v>
      </x:c>
      <x:c r="Y59" s="47" t="n">
        <x:v>1477000</x:v>
      </x:c>
      <x:c r="Z59" s="47" t="n">
        <x:v>1653000</x:v>
      </x:c>
      <x:c r="AA59" s="47" t="n">
        <x:v>1653000</x:v>
      </x:c>
      <x:c r="AB59" s="46" t="n">
        <x:v>0.36054158607350095</x:v>
      </x:c>
      <x:c r="AC59" s="46" t="n">
        <x:v>0.3208709942481512</x:v>
      </x:c>
      <x:c r="AD59" s="48" t="n">
        <x:v>10750</x:v>
      </x:c>
      <x:c r="AE59" s="48" t="n">
        <x:v>11450</x:v>
      </x:c>
      <x:c r="AF59" s="46" t="n">
        <x:v>0.06511627906976747</x:v>
      </x:c>
      <x:c r="AG59" s="48" t="n">
        <x:v>3</x:v>
      </x:c>
      <x:c r="AH59" s="49" t="n">
        <x:v>9.4</x:v>
      </x:c>
      <x:c r="AI59" s="46" t="n">
        <x:v>0.95</x:v>
      </x:c>
      <x:c r="AJ59" s="50" t="str">
        <x:v>Equipe reforçada para recuperar o cronograma.</x:v>
      </x:c>
      <x:c r="AK59" s="45" t="n">
        <x:v>46259</x:v>
      </x:c>
    </x:row>
    <x:row r="60">
      <x:c r="A60" s="39" t="str">
        <x:v>ARQ-059</x:v>
      </x:c>
      <x:c r="B60" s="39" t="str">
        <x:v>Lume Park</x:v>
      </x:c>
      <x:c r="C60" s="39" t="str">
        <x:v>Grupo Serene</x:v>
      </x:c>
      <x:c r="D60" s="39" t="str">
        <x:v>Hotelaria</x:v>
      </x:c>
      <x:c r="E60" s="39" t="str">
        <x:v>Campinas</x:v>
      </x:c>
      <x:c r="F60" s="39" t="str">
        <x:v>SP</x:v>
      </x:c>
      <x:c r="G60" s="39" t="str">
        <x:v>Caio Martins</x:v>
      </x:c>
      <x:c r="H60" s="39" t="str">
        <x:v>Bianca Rocha</x:v>
      </x:c>
      <x:c r="I60" s="39" t="str">
        <x:v>Compatibilização</x:v>
      </x:c>
      <x:c r="J60" s="39" t="str">
        <x:v>Em andamento</x:v>
      </x:c>
      <x:c r="K60" s="39" t="str">
        <x:v>Medio</x:v>
      </x:c>
      <x:c r="L60" s="45" t="n">
        <x:v>45808</x:v>
      </x:c>
      <x:c r="M60" s="39"/>
      <x:c r="N60" s="45" t="n">
        <x:v>46447</x:v>
      </x:c>
      <x:c r="O60" s="45" t="n">
        <x:v>46516</x:v>
      </x:c>
      <x:c r="P60" s="48" t="n">
        <x:v>69</x:v>
      </x:c>
      <x:c r="Q60" s="46" t="n">
        <x:v>0.7151799687010955</x:v>
      </x:c>
      <x:c r="R60" s="46" t="n">
        <x:v>0.7669396728941957</x:v>
      </x:c>
      <x:c r="S60" s="46" t="n">
        <x:v>0.051759704193100275</x:v>
      </x:c>
      <x:c r="T60" s="47" t="n">
        <x:v>2005000</x:v>
      </x:c>
      <x:c r="U60" s="47" t="n">
        <x:v>1589000</x:v>
      </x:c>
      <x:c r="V60" s="47" t="n">
        <x:v>1500000</x:v>
      </x:c>
      <x:c r="W60" s="47" t="n">
        <x:v>1247000</x:v>
      </x:c>
      <x:c r="X60" s="47" t="n">
        <x:v>416000</x:v>
      </x:c>
      <x:c r="Y60" s="47" t="n">
        <x:v>1302000</x:v>
      </x:c>
      <x:c r="Z60" s="47" t="n">
        <x:v>1113000</x:v>
      </x:c>
      <x:c r="AA60" s="47" t="n">
        <x:v>1449000</x:v>
      </x:c>
      <x:c r="AB60" s="46" t="n">
        <x:v>0.2773067331670823</x:v>
      </x:c>
      <x:c r="AC60" s="46" t="n">
        <x:v>0.29955947136563876</x:v>
      </x:c>
      <x:c r="AD60" s="48" t="n">
        <x:v>12450</x:v>
      </x:c>
      <x:c r="AE60" s="48" t="n">
        <x:v>9730</x:v>
      </x:c>
      <x:c r="AF60" s="46" t="n">
        <x:v>0.014586431523474941</x:v>
      </x:c>
      <x:c r="AG60" s="48" t="n">
        <x:v>4</x:v>
      </x:c>
      <x:c r="AH60" s="49" t="n">
        <x:v>9.8</x:v>
      </x:c>
      <x:c r="AI60" s="46" t="n">
        <x:v>0.9128326885914431</x:v>
      </x:c>
      <x:c r="AJ60" s="50" t="str">
        <x:v>Compatibilização BIM reduziu interferências críticas.</x:v>
      </x:c>
      <x:c r="AK60" s="45" t="n">
        <x:v>46256</x:v>
      </x:c>
    </x:row>
    <x:row r="61">
      <x:c r="A61" s="39" t="str">
        <x:v>ARQ-060</x:v>
      </x:c>
      <x:c r="B61" s="39" t="str">
        <x:v>Icaro Mall</x:v>
      </x:c>
      <x:c r="C61" s="39" t="str">
        <x:v>Grupo Serene</x:v>
      </x:c>
      <x:c r="D61" s="39" t="str">
        <x:v>Hotelaria</x:v>
      </x:c>
      <x:c r="E61" s="39" t="str">
        <x:v>Fortaleza</x:v>
      </x:c>
      <x:c r="F61" s="39" t="str">
        <x:v>CE</x:v>
      </x:c>
      <x:c r="G61" s="39" t="str">
        <x:v>Helena Prado</x:v>
      </x:c>
      <x:c r="H61" s="39" t="str">
        <x:v>Bianca Rocha</x:v>
      </x:c>
      <x:c r="I61" s="39" t="str">
        <x:v>Acompanhamento de obra</x:v>
      </x:c>
      <x:c r="J61" s="39" t="str">
        <x:v>Em espera</x:v>
      </x:c>
      <x:c r="K61" s="39" t="str">
        <x:v>Alto</x:v>
      </x:c>
      <x:c r="L61" s="45" t="n">
        <x:v>45979</x:v>
      </x:c>
      <x:c r="M61" s="39"/>
      <x:c r="N61" s="45" t="n">
        <x:v>46253</x:v>
      </x:c>
      <x:c r="O61" s="45" t="n">
        <x:v>46368</x:v>
      </x:c>
      <x:c r="P61" s="48" t="n">
        <x:v>115</x:v>
      </x:c>
      <x:c r="Q61" s="46" t="n">
        <x:v>1</x:v>
      </x:c>
      <x:c r="R61" s="46" t="n">
        <x:v>0.9284113924391568</x:v>
      </x:c>
      <x:c r="S61" s="46" t="n">
        <x:v>-0.07158860756084318</x:v>
      </x:c>
      <x:c r="T61" s="47" t="n">
        <x:v>1020000</x:v>
      </x:c>
      <x:c r="U61" s="47" t="n">
        <x:v>861000</x:v>
      </x:c>
      <x:c r="V61" s="47" t="n">
        <x:v>851000</x:v>
      </x:c>
      <x:c r="W61" s="47" t="n">
        <x:v>717000</x:v>
      </x:c>
      <x:c r="X61" s="47" t="n">
        <x:v>159000</x:v>
      </x:c>
      <x:c r="Y61" s="47" t="n">
        <x:v>625000</x:v>
      </x:c>
      <x:c r="Z61" s="47" t="n">
        <x:v>574000</x:v>
      </x:c>
      <x:c r="AA61" s="47" t="n">
        <x:v>689000</x:v>
      </x:c>
      <x:c r="AB61" s="46" t="n">
        <x:v>0.32450980392156864</x:v>
      </x:c>
      <x:c r="AC61" s="46" t="n">
        <x:v>0.3333333333333333</x:v>
      </x:c>
      <x:c r="AD61" s="48" t="n">
        <x:v>7950</x:v>
      </x:c>
      <x:c r="AE61" s="48" t="n">
        <x:v>8040</x:v>
      </x:c>
      <x:c r="AF61" s="46" t="n">
        <x:v>0.0829093622778243</x:v>
      </x:c>
      <x:c r="AG61" s="48" t="n">
        <x:v>0</x:v>
      </x:c>
      <x:c r="AH61" s="49" t="n">
        <x:v>9</x:v>
      </x:c>
      <x:c r="AI61" s="46" t="n">
        <x:v>0.8758984177513048</x:v>
      </x:c>
      <x:c r="AJ61" s="50" t="str">
        <x:v>Cliente avaliando ampliação de escopo.</x:v>
      </x:c>
      <x:c r="AK61" s="45" t="n">
        <x:v>46247</x:v>
      </x:c>
    </x:row>
  </x:sheetData>
  <x:conditionalFormatting sqref="K2:K61">
    <x:cfRule type="containsText" dxfId="0" priority="1" operator="containsText" text="Alto"/>
  </x:conditionalFormatting>
  <x:conditionalFormatting sqref="P2:P61">
    <x:cfRule type="cellIs" dxfId="1" priority="2" operator="greaterThan">
      <x:formula>30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01322f2ed24475"/>
  </x:tableParts>
</x:worksheet>
</file>

<file path=xl/worksheets/sheet3.xml><?xml version="1.0" encoding="utf-8"?>
<x:worksheet xmlns:x="http://schemas.openxmlformats.org/spreadsheetml/2006/main">
  <x:sheetPr>
    <x:tabColor rgb="FF7A8E9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65" hidden="0" customWidth="1"/>
  </x:cols>
  <x:sheetData>
    <x:row r="2">
      <x:c r="A2" s="1" t="str">
        <x:v>Dicionário de dados</x:v>
      </x:c>
      <x:c r="B2" s="1"/>
      <x:c r="C2" s="1"/>
    </x:row>
    <x:row r="3">
      <x:c r="A3" s="3" t="str">
        <x:v>Base sintética. Os nomes, clientes e valores foram criados exclusivamente para estudo.</x:v>
      </x:c>
      <x:c r="B3" s="3"/>
      <x:c r="C3" s="3"/>
    </x:row>
    <x:row r="5">
      <x:c r="A5" s="9" t="str">
        <x:v>Campo</x:v>
      </x:c>
      <x:c r="B5" s="9" t="str">
        <x:v>Tipo</x:v>
      </x:c>
      <x:c r="C5" s="9" t="str">
        <x:v>Descrição</x:v>
      </x:c>
    </x:row>
    <x:row r="6">
      <x:c r="A6" s="51" t="str">
        <x:v>ID Projeto</x:v>
      </x:c>
      <x:c r="B6" s="51" t="str">
        <x:v>Texto</x:v>
      </x:c>
      <x:c r="C6" s="6" t="str">
        <x:v>Identificador único no formato ARQ-000</x:v>
      </x:c>
    </x:row>
    <x:row r="7">
      <x:c r="A7" s="51" t="str">
        <x:v>Projeto</x:v>
      </x:c>
      <x:c r="B7" s="51" t="str">
        <x:v>Texto</x:v>
      </x:c>
      <x:c r="C7" s="6" t="str">
        <x:v>Nome fictício do empreendimento</x:v>
      </x:c>
    </x:row>
    <x:row r="8">
      <x:c r="A8" s="51" t="str">
        <x:v>Cliente</x:v>
      </x:c>
      <x:c r="B8" s="51" t="str">
        <x:v>Texto</x:v>
      </x:c>
      <x:c r="C8" s="6" t="str">
        <x:v>Nome fictício do cliente contratante</x:v>
      </x:c>
    </x:row>
    <x:row r="9">
      <x:c r="A9" s="51" t="str">
        <x:v>Segmento</x:v>
      </x:c>
      <x:c r="B9" s="51" t="str">
        <x:v>Categoria</x:v>
      </x:c>
      <x:c r="C9" s="6" t="str">
        <x:v>Segmento do empreendimento</x:v>
      </x:c>
    </x:row>
    <x:row r="10">
      <x:c r="A10" s="51" t="str">
        <x:v>Cidade</x:v>
      </x:c>
      <x:c r="B10" s="51" t="str">
        <x:v>Texto</x:v>
      </x:c>
      <x:c r="C10" s="6" t="str">
        <x:v>Município de localização do projeto</x:v>
      </x:c>
    </x:row>
    <x:row r="11">
      <x:c r="A11" s="51" t="str">
        <x:v>UF</x:v>
      </x:c>
      <x:c r="B11" s="51" t="str">
        <x:v>Texto</x:v>
      </x:c>
      <x:c r="C11" s="6" t="str">
        <x:v>Unidade federativa do projeto</x:v>
      </x:c>
    </x:row>
    <x:row r="12">
      <x:c r="A12" s="51" t="str">
        <x:v>Diretor</x:v>
      </x:c>
      <x:c r="B12" s="51" t="str">
        <x:v>Texto</x:v>
      </x:c>
      <x:c r="C12" s="6" t="str">
        <x:v>Diretor responsável pela conta ou carteira</x:v>
      </x:c>
    </x:row>
    <x:row r="13">
      <x:c r="A13" s="51" t="str">
        <x:v>Gerente</x:v>
      </x:c>
      <x:c r="B13" s="51" t="str">
        <x:v>Texto</x:v>
      </x:c>
      <x:c r="C13" s="6" t="str">
        <x:v>Gerente responsável pela execução</x:v>
      </x:c>
    </x:row>
    <x:row r="14">
      <x:c r="A14" s="51" t="str">
        <x:v>Fase Atual</x:v>
      </x:c>
      <x:c r="B14" s="51" t="str">
        <x:v>Categoria</x:v>
      </x:c>
      <x:c r="C14" s="6" t="str">
        <x:v>Etapa atual do projeto</x:v>
      </x:c>
    </x:row>
    <x:row r="15">
      <x:c r="A15" s="51" t="str">
        <x:v>Status</x:v>
      </x:c>
      <x:c r="B15" s="51" t="str">
        <x:v>Categoria</x:v>
      </x:c>
      <x:c r="C15" s="6" t="str">
        <x:v>Em andamento, em espera, concluído ou cancelado</x:v>
      </x:c>
    </x:row>
    <x:row r="16">
      <x:c r="A16" s="51" t="str">
        <x:v>Risco</x:v>
      </x:c>
      <x:c r="B16" s="51" t="str">
        <x:v>Categoria</x:v>
      </x:c>
      <x:c r="C16" s="6" t="str">
        <x:v>Classificação simulada: baixo, médio ou alto</x:v>
      </x:c>
    </x:row>
    <x:row r="17">
      <x:c r="A17" s="51" t="str">
        <x:v>Data Inicio</x:v>
      </x:c>
      <x:c r="B17" s="51" t="str">
        <x:v>Data</x:v>
      </x:c>
      <x:c r="C17" s="6" t="str">
        <x:v>Data de início do projeto</x:v>
      </x:c>
    </x:row>
    <x:row r="18">
      <x:c r="A18" s="51" t="str">
        <x:v>Prazo Contratual (meses)</x:v>
      </x:c>
      <x:c r="B18" s="51" t="str">
        <x:v>Número inteiro</x:v>
      </x:c>
      <x:c r="C18" s="6" t="str">
        <x:v>Duração prevista em contrato; não preenchida nesta versão</x:v>
      </x:c>
    </x:row>
    <x:row r="19">
      <x:c r="A19" s="51" t="str">
        <x:v>Fim Previsto</x:v>
      </x:c>
      <x:c r="B19" s="51" t="str">
        <x:v>Data</x:v>
      </x:c>
      <x:c r="C19" s="6" t="str">
        <x:v>Data originalmente prevista para encerramento</x:v>
      </x:c>
    </x:row>
    <x:row r="20">
      <x:c r="A20" s="51" t="str">
        <x:v>Fim Revisado</x:v>
      </x:c>
      <x:c r="B20" s="51" t="str">
        <x:v>Data</x:v>
      </x:c>
      <x:c r="C20" s="6" t="str">
        <x:v>Previsão mais recente para encerramento</x:v>
      </x:c>
    </x:row>
    <x:row r="21">
      <x:c r="A21" s="51" t="str">
        <x:v>Desvio Prazo (dias)</x:v>
      </x:c>
      <x:c r="B21" s="51" t="str">
        <x:v>Número inteiro</x:v>
      </x:c>
      <x:c r="C21" s="6" t="str">
        <x:v>Fim revisado menos fim previsto, em dias</x:v>
      </x:c>
    </x:row>
    <x:row r="22">
      <x:c r="A22" s="51" t="str">
        <x:v>Progresso Planejado</x:v>
      </x:c>
      <x:c r="B22" s="51" t="str">
        <x:v>Percentual</x:v>
      </x:c>
      <x:c r="C22" s="6" t="str">
        <x:v>Avanço planejado na data de corte</x:v>
      </x:c>
    </x:row>
    <x:row r="23">
      <x:c r="A23" s="51" t="str">
        <x:v>Progresso Real</x:v>
      </x:c>
      <x:c r="B23" s="51" t="str">
        <x:v>Percentual</x:v>
      </x:c>
      <x:c r="C23" s="6" t="str">
        <x:v>Avanço realizado na data de corte</x:v>
      </x:c>
    </x:row>
    <x:row r="24">
      <x:c r="A24" s="51" t="str">
        <x:v>Desvio Progresso</x:v>
      </x:c>
      <x:c r="B24" s="51" t="str">
        <x:v>Percentual</x:v>
      </x:c>
      <x:c r="C24" s="6" t="str">
        <x:v>Progresso real menos progresso planejado</x:v>
      </x:c>
    </x:row>
    <x:row r="25">
      <x:c r="A25" s="51" t="str">
        <x:v>Honorarios Contratados</x:v>
      </x:c>
      <x:c r="B25" s="51" t="str">
        <x:v>Moeda</x:v>
      </x:c>
      <x:c r="C25" s="6" t="str">
        <x:v>Valor total contratado pelo escritório</x:v>
      </x:c>
    </x:row>
    <x:row r="26">
      <x:c r="A26" s="51" t="str">
        <x:v>Receita Reconhecida</x:v>
      </x:c>
      <x:c r="B26" s="51" t="str">
        <x:v>Moeda</x:v>
      </x:c>
      <x:c r="C26" s="6" t="str">
        <x:v>Receita apropriada até a data de corte</x:v>
      </x:c>
    </x:row>
    <x:row r="27">
      <x:c r="A27" s="51" t="str">
        <x:v>Valor Faturado</x:v>
      </x:c>
      <x:c r="B27" s="51" t="str">
        <x:v>Moeda</x:v>
      </x:c>
      <x:c r="C27" s="6" t="str">
        <x:v>Valor de notas ou cobranças emitidas</x:v>
      </x:c>
    </x:row>
    <x:row r="28">
      <x:c r="A28" s="51" t="str">
        <x:v>Valor Recebido</x:v>
      </x:c>
      <x:c r="B28" s="51" t="str">
        <x:v>Moeda</x:v>
      </x:c>
      <x:c r="C28" s="6" t="str">
        <x:v>Valor efetivamente recebido</x:v>
      </x:c>
    </x:row>
    <x:row r="29">
      <x:c r="A29" s="51" t="str">
        <x:v>Backlog</x:v>
      </x:c>
      <x:c r="B29" s="51" t="str">
        <x:v>Moeda</x:v>
      </x:c>
      <x:c r="C29" s="6" t="str">
        <x:v>Saldo contratado ainda não reconhecido como receita</x:v>
      </x:c>
    </x:row>
    <x:row r="30">
      <x:c r="A30" s="51" t="str">
        <x:v>Custo Orcado</x:v>
      </x:c>
      <x:c r="B30" s="51" t="str">
        <x:v>Moeda</x:v>
      </x:c>
      <x:c r="C30" s="6" t="str">
        <x:v>Custo previsto no orçamento original</x:v>
      </x:c>
    </x:row>
    <x:row r="31">
      <x:c r="A31" s="51" t="str">
        <x:v>Custo Real</x:v>
      </x:c>
      <x:c r="B31" s="51" t="str">
        <x:v>Moeda</x:v>
      </x:c>
      <x:c r="C31" s="6" t="str">
        <x:v>Custo incorrido até a data de corte</x:v>
      </x:c>
    </x:row>
    <x:row r="32">
      <x:c r="A32" s="51" t="str">
        <x:v>Custo Projetado Final</x:v>
      </x:c>
      <x:c r="B32" s="51" t="str">
        <x:v>Moeda</x:v>
      </x:c>
      <x:c r="C32" s="6" t="str">
        <x:v>Estimativa atual do custo total ao término</x:v>
      </x:c>
    </x:row>
    <x:row r="33">
      <x:c r="A33" s="51" t="str">
        <x:v>Margem Prevista</x:v>
      </x:c>
      <x:c r="B33" s="51" t="str">
        <x:v>Percentual</x:v>
      </x:c>
      <x:c r="C33" s="6" t="str">
        <x:v>Margem estimada ao término</x:v>
      </x:c>
    </x:row>
    <x:row r="34">
      <x:c r="A34" s="51" t="str">
        <x:v>Margem Atual</x:v>
      </x:c>
      <x:c r="B34" s="51" t="str">
        <x:v>Percentual</x:v>
      </x:c>
      <x:c r="C34" s="6" t="str">
        <x:v>Margem observada sobre receita e custo realizados</x:v>
      </x:c>
    </x:row>
    <x:row r="35">
      <x:c r="A35" s="51" t="str">
        <x:v>Horas Planejadas</x:v>
      </x:c>
      <x:c r="B35" s="51" t="str">
        <x:v>Número</x:v>
      </x:c>
      <x:c r="C35" s="6" t="str">
        <x:v>Horas totais planejadas</x:v>
      </x:c>
    </x:row>
    <x:row r="36">
      <x:c r="A36" s="51" t="str">
        <x:v>Horas Realizadas</x:v>
      </x:c>
      <x:c r="B36" s="51" t="str">
        <x:v>Número</x:v>
      </x:c>
      <x:c r="C36" s="6" t="str">
        <x:v>Horas trabalhadas até a data de corte</x:v>
      </x:c>
    </x:row>
    <x:row r="37">
      <x:c r="A37" s="51" t="str">
        <x:v>Desvio Horas</x:v>
      </x:c>
      <x:c r="B37" s="51" t="str">
        <x:v>Percentual</x:v>
      </x:c>
      <x:c r="C37" s="6" t="str">
        <x:v>Desvio proporcional do consumo de horas</x:v>
      </x:c>
    </x:row>
    <x:row r="38">
      <x:c r="A38" s="51" t="str">
        <x:v>Alteracoes de Escopo</x:v>
      </x:c>
      <x:c r="B38" s="51" t="str">
        <x:v>Número inteiro</x:v>
      </x:c>
      <x:c r="C38" s="6" t="str">
        <x:v>Quantidade de mudanças de escopo</x:v>
      </x:c>
    </x:row>
    <x:row r="39">
      <x:c r="A39" s="51" t="str">
        <x:v>Satisfacao Cliente</x:v>
      </x:c>
      <x:c r="B39" s="51" t="str">
        <x:v>Decimal</x:v>
      </x:c>
      <x:c r="C39" s="6" t="str">
        <x:v>Avaliação simulada do cliente, de 0 a 10</x:v>
      </x:c>
    </x:row>
    <x:row r="40">
      <x:c r="A40" s="51" t="str">
        <x:v>Probabilidade Renovacao</x:v>
      </x:c>
      <x:c r="B40" s="51" t="str">
        <x:v>Percentual</x:v>
      </x:c>
      <x:c r="C40" s="6" t="str">
        <x:v>Estimativa simulada de renovação</x:v>
      </x:c>
    </x:row>
    <x:row r="41">
      <x:c r="A41" s="51" t="str">
        <x:v>Observacao Executiva</x:v>
      </x:c>
      <x:c r="B41" s="51" t="str">
        <x:v>Texto</x:v>
      </x:c>
      <x:c r="C41" s="6" t="str">
        <x:v>Síntese qualitativa sobre o projeto</x:v>
      </x:c>
    </x:row>
    <x:row r="42">
      <x:c r="A42" s="51" t="str">
        <x:v>Ultima Atualizacao</x:v>
      </x:c>
      <x:c r="B42" s="51" t="str">
        <x:v>Data</x:v>
      </x:c>
      <x:c r="C42" s="6" t="str">
        <x:v>Data da última atualização do registro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cc8250766e8b4e6f"/>
  </x:tableParts>
</x:worksheet>
</file>